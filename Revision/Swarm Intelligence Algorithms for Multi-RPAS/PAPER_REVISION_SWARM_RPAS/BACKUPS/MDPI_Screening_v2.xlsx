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eening_Matrix" sheetId="1" state="visible" r:id="rId1"/>
    <sheet xmlns:r="http://schemas.openxmlformats.org/officeDocument/2006/relationships" name="Summary_Statistics"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19">
    <font>
      <name val="Calibri"/>
      <family val="2"/>
      <color theme="1"/>
      <sz val="11"/>
      <scheme val="minor"/>
    </font>
    <font>
      <name val="Arial"/>
      <b val="1"/>
      <color rgb="00FFFFFF"/>
      <sz val="13"/>
    </font>
    <font>
      <name val="Arial"/>
      <i val="1"/>
      <color rgb="00FFFFFF"/>
      <sz val="8.5"/>
    </font>
    <font>
      <name val="Arial"/>
      <i val="1"/>
      <color rgb="001F3864"/>
      <sz val="8.5"/>
    </font>
    <font>
      <name val="Arial"/>
      <b val="1"/>
      <color rgb="00FFFFFF"/>
      <sz val="9"/>
    </font>
    <font>
      <name val="Arial"/>
      <b val="1"/>
      <color rgb="00000000"/>
      <sz val="9"/>
    </font>
    <font>
      <name val="Arial"/>
      <color rgb="00000000"/>
      <sz val="9"/>
    </font>
    <font>
      <name val="Arial"/>
      <b val="1"/>
      <color rgb="00375623"/>
      <sz val="9"/>
    </font>
    <font>
      <name val="Arial"/>
      <color rgb="002E75B6"/>
      <sz val="9"/>
    </font>
    <font>
      <name val="Segoe UI Symbol"/>
      <b val="1"/>
      <color rgb="00375623"/>
      <sz val="11"/>
    </font>
    <font>
      <name val="Segoe UI Symbol"/>
      <b val="1"/>
      <color rgb="009C0006"/>
      <sz val="11"/>
    </font>
    <font>
      <name val="Arial"/>
      <b val="1"/>
      <color rgb="009C0006"/>
      <sz val="10"/>
    </font>
    <font>
      <name val="Arial"/>
      <b val="1"/>
      <color rgb="007F4F00"/>
      <sz val="9"/>
    </font>
    <font>
      <name val="Arial"/>
      <b val="1"/>
      <color rgb="00375623"/>
      <sz val="10"/>
    </font>
    <font>
      <name val="Arial"/>
      <i val="1"/>
      <color rgb="00595959"/>
      <sz val="8"/>
    </font>
    <font>
      <name val="Arial"/>
      <b val="1"/>
      <color rgb="00FFFFFF"/>
      <sz val="11"/>
    </font>
    <font>
      <name val="Arial"/>
      <color rgb="00000000"/>
      <sz val="10"/>
    </font>
    <font>
      <name val="Arial"/>
      <b val="1"/>
      <color rgb="00000000"/>
      <sz val="10"/>
    </font>
    <font>
      <name val="Arial"/>
      <i val="1"/>
      <color rgb="00595959"/>
      <sz val="8.5"/>
    </font>
  </fonts>
  <fills count="11">
    <fill>
      <patternFill/>
    </fill>
    <fill>
      <patternFill patternType="gray125"/>
    </fill>
    <fill>
      <patternFill patternType="solid">
        <fgColor rgb="001F3864"/>
      </patternFill>
    </fill>
    <fill>
      <patternFill patternType="solid">
        <fgColor rgb="002E75B6"/>
      </patternFill>
    </fill>
    <fill>
      <patternFill patternType="solid">
        <fgColor rgb="00DEEAF1"/>
      </patternFill>
    </fill>
    <fill>
      <patternFill patternType="solid">
        <fgColor rgb="00F2F7FC"/>
      </patternFill>
    </fill>
    <fill>
      <patternFill patternType="solid">
        <fgColor rgb="00C6EFCE"/>
      </patternFill>
    </fill>
    <fill>
      <patternFill patternType="solid">
        <fgColor rgb="00FCE4D6"/>
      </patternFill>
    </fill>
    <fill>
      <patternFill patternType="solid">
        <fgColor rgb="00FFFFFF"/>
      </patternFill>
    </fill>
    <fill>
      <patternFill patternType="solid">
        <fgColor rgb="00FFE699"/>
      </patternFill>
    </fill>
    <fill>
      <patternFill patternType="solid">
        <fgColor rgb="00F5F5F5"/>
      </patternFill>
    </fill>
  </fills>
  <borders count="7">
    <border>
      <left/>
      <right/>
      <top/>
      <bottom/>
      <diagonal/>
    </border>
    <border>
      <left style="medium">
        <color rgb="00FFFFFF"/>
      </left>
      <right style="medium">
        <color rgb="00FFFFFF"/>
      </right>
      <top style="thin">
        <color rgb="00BFBFBF"/>
      </top>
      <bottom style="thin">
        <color rgb="00BFBFBF"/>
      </bottom>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wrapText="1"/>
    </xf>
    <xf numFmtId="0" fontId="3" fillId="4" borderId="0" applyAlignment="1" pivotButton="0" quotePrefix="0" xfId="0">
      <alignment horizontal="left" vertical="center" wrapText="1"/>
    </xf>
    <xf numFmtId="0" fontId="4" fillId="2" borderId="1" applyAlignment="1" pivotButton="0" quotePrefix="0" xfId="0">
      <alignment horizontal="center" vertical="center" wrapText="1"/>
    </xf>
    <xf numFmtId="0" fontId="5" fillId="5" borderId="2" applyAlignment="1" pivotButton="0" quotePrefix="0" xfId="0">
      <alignment horizontal="center" vertical="center" wrapText="1"/>
    </xf>
    <xf numFmtId="0" fontId="6" fillId="5" borderId="2" applyAlignment="1" pivotButton="0" quotePrefix="0" xfId="0">
      <alignment horizontal="left" vertical="center" wrapText="1"/>
    </xf>
    <xf numFmtId="0" fontId="6" fillId="5" borderId="2" applyAlignment="1" pivotButton="0" quotePrefix="0" xfId="0">
      <alignment horizontal="center" vertical="center" wrapText="1"/>
    </xf>
    <xf numFmtId="0" fontId="7" fillId="6" borderId="2" applyAlignment="1" pivotButton="0" quotePrefix="0" xfId="0">
      <alignment horizontal="center" vertical="center" wrapText="1"/>
    </xf>
    <xf numFmtId="0" fontId="8" fillId="5" borderId="2" applyAlignment="1" pivotButton="0" quotePrefix="0" xfId="0">
      <alignment horizontal="left" vertical="center" wrapText="1"/>
    </xf>
    <xf numFmtId="0" fontId="9" fillId="6" borderId="2" applyAlignment="1" pivotButton="0" quotePrefix="0" xfId="0">
      <alignment horizontal="center" vertical="center"/>
    </xf>
    <xf numFmtId="0" fontId="10" fillId="7" borderId="2" applyAlignment="1" pivotButton="0" quotePrefix="0" xfId="0">
      <alignment horizontal="center" vertical="center"/>
    </xf>
    <xf numFmtId="0" fontId="11" fillId="7" borderId="2" applyAlignment="1" pivotButton="0" quotePrefix="0" xfId="0">
      <alignment horizontal="center" vertical="center"/>
    </xf>
    <xf numFmtId="0" fontId="5" fillId="8" borderId="2" applyAlignment="1" pivotButton="0" quotePrefix="0" xfId="0">
      <alignment horizontal="center" vertical="center" wrapText="1"/>
    </xf>
    <xf numFmtId="0" fontId="6" fillId="8" borderId="2" applyAlignment="1" pivotButton="0" quotePrefix="0" xfId="0">
      <alignment horizontal="left" vertical="center" wrapText="1"/>
    </xf>
    <xf numFmtId="0" fontId="6"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8" fillId="8" borderId="2" applyAlignment="1" pivotButton="0" quotePrefix="0" xfId="0">
      <alignment horizontal="left" vertical="center" wrapText="1"/>
    </xf>
    <xf numFmtId="0" fontId="13" fillId="6" borderId="2" applyAlignment="1" pivotButton="0" quotePrefix="0" xfId="0">
      <alignment horizontal="center" vertical="center"/>
    </xf>
    <xf numFmtId="0" fontId="14" fillId="10" borderId="0" applyAlignment="1" pivotButton="0" quotePrefix="0" xfId="0">
      <alignment horizontal="left" vertical="center" wrapText="1"/>
    </xf>
    <xf numFmtId="0" fontId="15" fillId="3" borderId="0" applyAlignment="1" pivotButton="0" quotePrefix="0" xfId="0">
      <alignment horizontal="center" vertical="center"/>
    </xf>
    <xf numFmtId="0" fontId="16" fillId="4" borderId="2" applyAlignment="1" pivotButton="0" quotePrefix="0" xfId="0">
      <alignment horizontal="left" vertical="center"/>
    </xf>
    <xf numFmtId="0" fontId="0" fillId="0" borderId="5" pivotButton="0" quotePrefix="0" xfId="0"/>
    <xf numFmtId="0" fontId="0" fillId="0" borderId="6" pivotButton="0" quotePrefix="0" xfId="0"/>
    <xf numFmtId="0" fontId="17" fillId="4" borderId="2" applyAlignment="1" pivotButton="0" quotePrefix="0" xfId="0">
      <alignment horizontal="center" vertical="center"/>
    </xf>
    <xf numFmtId="0" fontId="16" fillId="8" borderId="2" applyAlignment="1" pivotButton="0" quotePrefix="0" xfId="0">
      <alignment horizontal="left" vertical="center"/>
    </xf>
    <xf numFmtId="0" fontId="17" fillId="8" borderId="2" applyAlignment="1" pivotButton="0" quotePrefix="0" xfId="0">
      <alignment horizontal="center" vertical="center"/>
    </xf>
    <xf numFmtId="164" fontId="17" fillId="8" borderId="2" applyAlignment="1" pivotButton="0" quotePrefix="0" xfId="0">
      <alignment horizontal="center" vertical="center"/>
    </xf>
    <xf numFmtId="0" fontId="11" fillId="7" borderId="2" applyAlignment="1" pivotButton="0" quotePrefix="0" xfId="0">
      <alignment horizontal="left" vertical="center"/>
    </xf>
    <xf numFmtId="0" fontId="16" fillId="7" borderId="2" applyAlignment="1" pivotButton="0" quotePrefix="0" xfId="0">
      <alignment horizontal="left" vertical="center"/>
    </xf>
    <xf numFmtId="0" fontId="17" fillId="7" borderId="2" applyAlignment="1" pivotButton="0" quotePrefix="0" xfId="0">
      <alignment horizontal="center" vertical="center"/>
    </xf>
    <xf numFmtId="0" fontId="11" fillId="8" borderId="2" applyAlignment="1" pivotButton="0" quotePrefix="0" xfId="0">
      <alignment horizontal="left" vertical="center"/>
    </xf>
    <xf numFmtId="0" fontId="16" fillId="5" borderId="2" applyAlignment="1" pivotButton="0" quotePrefix="0" xfId="0">
      <alignment horizontal="left" vertical="center"/>
    </xf>
    <xf numFmtId="0" fontId="17" fillId="5" borderId="2" applyAlignment="1" pivotButton="0" quotePrefix="0" xfId="0">
      <alignment horizontal="center" vertical="center"/>
    </xf>
    <xf numFmtId="0" fontId="15" fillId="2" borderId="0" applyAlignment="1" pivotButton="0" quotePrefix="0" xfId="0">
      <alignment horizontal="center" vertical="center"/>
    </xf>
    <xf numFmtId="0" fontId="4" fillId="3" borderId="2" applyAlignment="1" pivotButton="0" quotePrefix="0" xfId="0">
      <alignment horizontal="center" vertical="center"/>
    </xf>
    <xf numFmtId="0" fontId="6" fillId="6" borderId="2" applyAlignment="1" pivotButton="0" quotePrefix="0" xfId="0">
      <alignment horizontal="left" vertical="center" wrapText="1"/>
    </xf>
    <xf numFmtId="0" fontId="18" fillId="10"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showGridLines="0" workbookViewId="0">
      <pane ySplit="4" topLeftCell="A5" activePane="bottomLeft" state="frozen"/>
      <selection pane="bottomLeft" activeCell="A1" sqref="A1"/>
    </sheetView>
  </sheetViews>
  <sheetFormatPr baseColWidth="8" defaultRowHeight="15"/>
  <cols>
    <col width="7" customWidth="1" min="1" max="1"/>
    <col width="52" customWidth="1" min="2" max="2"/>
    <col width="28" customWidth="1" min="3" max="3"/>
    <col width="6" customWidth="1" min="4" max="4"/>
    <col width="20" customWidth="1" min="5" max="5"/>
    <col width="12" customWidth="1" min="6" max="6"/>
    <col width="30" customWidth="1" min="7" max="7"/>
    <col width="9" customWidth="1" min="8" max="8"/>
    <col width="9" customWidth="1" min="9" max="9"/>
    <col width="8" customWidth="1" min="10" max="10"/>
    <col width="9" customWidth="1" min="11" max="11"/>
    <col width="9" customWidth="1" min="12" max="12"/>
    <col width="9" customWidth="1" min="13" max="13"/>
    <col width="30" customWidth="1" min="14" max="14"/>
    <col width="38" customWidth="1" min="15" max="15"/>
    <col width="36" customWidth="1" min="16" max="16"/>
  </cols>
  <sheetData>
    <row r="1" ht="26" customHeight="1">
      <c r="A1" s="1" t="inlineStr">
        <is>
          <t>PRISMA 2020 Screening Matrix — MDPI Sensors Vol.21/22  |  Systematic Review: SI-based Multi-UAV Path Planning in Precision Agriculture (2021–2025)</t>
        </is>
      </c>
    </row>
    <row r="2" ht="18" customHeight="1">
      <c r="A2" s="2" t="inlineStr">
        <is>
          <t>Inclusion criteria (Sec. 3.2):  I1 = Published Jan 2021–Dec 2025  │  I2 = Peer-reviewed + full text available  │  I3 = English  │  I4 = ≥1 SI algorithm for UAV path/trajectory/coverage planning  │  I5 = Agricultural application (crop monitoring, spraying, mapping, yield estimation)</t>
        </is>
      </c>
    </row>
    <row r="3" ht="16" customHeight="1">
      <c r="A3" s="3" t="inlineStr">
        <is>
          <t>Exclusion criteria:  E1 = duplicate  │  E2 = abstract-only / no full methodology  │  E3 = single-UAV only, no multi-UAV framework  │  E4 = non-SI methods only (A*, GA without SI, RL without SI)  │  E5 = exclusively non-agricultural domain</t>
        </is>
      </c>
    </row>
    <row r="4" ht="34" customHeight="1">
      <c r="A4" s="4" t="inlineStr">
        <is>
          <t>ID
MDPI</t>
        </is>
      </c>
      <c r="B4" s="4" t="inlineStr">
        <is>
          <t>Title</t>
        </is>
      </c>
      <c r="C4" s="4" t="inlineStr">
        <is>
          <t>Authors</t>
        </is>
      </c>
      <c r="D4" s="4" t="inlineStr">
        <is>
          <t>Year</t>
        </is>
      </c>
      <c r="E4" s="4" t="inlineStr">
        <is>
          <t>Journal</t>
        </is>
      </c>
      <c r="F4" s="4" t="inlineStr">
        <is>
          <t>Journal
Scope</t>
        </is>
      </c>
      <c r="G4" s="4" t="inlineStr">
        <is>
          <t>DOI</t>
        </is>
      </c>
      <c r="H4" s="4" t="inlineStr">
        <is>
          <t>I1
2021–2025</t>
        </is>
      </c>
      <c r="I4" s="4" t="inlineStr">
        <is>
          <t>I2
Full text</t>
        </is>
      </c>
      <c r="J4" s="4" t="inlineStr">
        <is>
          <t>I3
English</t>
        </is>
      </c>
      <c r="K4" s="4" t="inlineStr">
        <is>
          <t>I4
SI+Path</t>
        </is>
      </c>
      <c r="L4" s="4" t="inlineStr">
        <is>
          <t>I5
Agri app.</t>
        </is>
      </c>
      <c r="M4" s="4" t="inlineStr">
        <is>
          <t>Included</t>
        </is>
      </c>
      <c r="N4" s="4" t="inlineStr">
        <is>
          <t>Reason
Excluded</t>
        </is>
      </c>
      <c r="O4" s="4" t="inlineStr">
        <is>
          <t>Keywords</t>
        </is>
      </c>
      <c r="P4" s="4" t="inlineStr">
        <is>
          <t>Reviewer
Notes</t>
        </is>
      </c>
    </row>
    <row r="5" ht="46" customHeight="1">
      <c r="A5" s="5" t="inlineStr">
        <is>
          <t>M01</t>
        </is>
      </c>
      <c r="B5" s="6" t="inlineStr">
        <is>
          <t>An Optimal Geometry Configuration Algorithm of Hybrid Semi-Passive Location System Based on Mayfly Optimization Algorithm</t>
        </is>
      </c>
      <c r="C5" s="6" t="inlineStr">
        <is>
          <t>Hu, A.; Deng, Z.; Yang, H.; Zhang, Y.; Gao, Y.; Zhao, D.</t>
        </is>
      </c>
      <c r="D5" s="7" t="n">
        <v>2021</v>
      </c>
      <c r="E5" s="6" t="inlineStr">
        <is>
          <t>Sensors</t>
        </is>
      </c>
      <c r="F5" s="8" t="inlineStr">
        <is>
          <t>✓ In scope</t>
        </is>
      </c>
      <c r="G5" s="9" t="inlineStr">
        <is>
          <t>10.3390/s21227484</t>
        </is>
      </c>
      <c r="H5" s="10" t="inlineStr">
        <is>
          <t>✓</t>
        </is>
      </c>
      <c r="I5" s="10" t="inlineStr">
        <is>
          <t>✓</t>
        </is>
      </c>
      <c r="J5" s="10" t="inlineStr">
        <is>
          <t>✓</t>
        </is>
      </c>
      <c r="K5" s="11" t="inlineStr">
        <is>
          <t>✗</t>
        </is>
      </c>
      <c r="L5" s="10" t="inlineStr">
        <is>
          <t>✓</t>
        </is>
      </c>
      <c r="M5" s="12" t="inlineStr">
        <is>
          <t>NO</t>
        </is>
      </c>
      <c r="N5" s="6" t="inlineStr">
        <is>
          <t>E4: no SI path-planning method</t>
        </is>
      </c>
      <c r="O5" s="6" t="inlineStr">
        <is>
          <t>UAV; TDOA; AOA; MOA; semi-passive location; GDOP</t>
        </is>
      </c>
      <c r="P5" s="6" t="inlineStr">
        <is>
          <t>SI method (MOA) + UAV positioning, but application is military/location—no agricultural context</t>
        </is>
      </c>
    </row>
    <row r="6" ht="46" customHeight="1">
      <c r="A6" s="13" t="inlineStr">
        <is>
          <t>M02</t>
        </is>
      </c>
      <c r="B6" s="14" t="inlineStr">
        <is>
          <t>A Framework for Burnt Area Mapping and Evacuation Problem Using Aerial Imagery Analysis</t>
        </is>
      </c>
      <c r="C6" s="14" t="inlineStr">
        <is>
          <t>Munawar, H.S.; Gharineiat, Z.; Akram, J.; Imran Khan, S.</t>
        </is>
      </c>
      <c r="D6" s="15" t="n">
        <v>2022</v>
      </c>
      <c r="E6" s="14" t="inlineStr">
        <is>
          <t>Fire</t>
        </is>
      </c>
      <c r="F6" s="16" t="inlineStr">
        <is>
          <t>⚠ Review scope*</t>
        </is>
      </c>
      <c r="G6" s="17" t="inlineStr">
        <is>
          <t>10.3390/fire5040122</t>
        </is>
      </c>
      <c r="H6" s="10" t="inlineStr">
        <is>
          <t>✓</t>
        </is>
      </c>
      <c r="I6" s="10" t="inlineStr">
        <is>
          <t>✓</t>
        </is>
      </c>
      <c r="J6" s="10" t="inlineStr">
        <is>
          <t>✓</t>
        </is>
      </c>
      <c r="K6" s="11" t="inlineStr">
        <is>
          <t>✗</t>
        </is>
      </c>
      <c r="L6" s="10" t="inlineStr">
        <is>
          <t>✓</t>
        </is>
      </c>
      <c r="M6" s="12" t="inlineStr">
        <is>
          <t>NO</t>
        </is>
      </c>
      <c r="N6" s="14" t="inlineStr">
        <is>
          <t>E4: no SI path-planning method</t>
        </is>
      </c>
      <c r="O6" s="14" t="inlineStr">
        <is>
          <t>UAV; bushfires; burnt area; damage detection; ABC algorithm; evacuation</t>
        </is>
      </c>
      <c r="P6" s="14" t="inlineStr">
        <is>
          <t>SI method (ABC) + UAV; disaster-response domain, not agricultural</t>
        </is>
      </c>
    </row>
    <row r="7" ht="46" customHeight="1">
      <c r="A7" s="5" t="inlineStr">
        <is>
          <t>M03</t>
        </is>
      </c>
      <c r="B7" s="6" t="inlineStr">
        <is>
          <t>MFCC Selection by LASSO for Honey Bee Classification</t>
        </is>
      </c>
      <c r="C7" s="6" t="inlineStr">
        <is>
          <t>Libal, U.; Biernacki, P.</t>
        </is>
      </c>
      <c r="D7" s="7" t="n">
        <v>2024</v>
      </c>
      <c r="E7" s="6" t="inlineStr">
        <is>
          <t>Applied Sciences</t>
        </is>
      </c>
      <c r="F7" s="16" t="inlineStr">
        <is>
          <t>⚠ Review scope*</t>
        </is>
      </c>
      <c r="G7" s="9" t="inlineStr">
        <is>
          <t>10.3390/app14020913</t>
        </is>
      </c>
      <c r="H7" s="10" t="inlineStr">
        <is>
          <t>✓</t>
        </is>
      </c>
      <c r="I7" s="10" t="inlineStr">
        <is>
          <t>✓</t>
        </is>
      </c>
      <c r="J7" s="10" t="inlineStr">
        <is>
          <t>✓</t>
        </is>
      </c>
      <c r="K7" s="11" t="inlineStr">
        <is>
          <t>✗</t>
        </is>
      </c>
      <c r="L7" s="11" t="inlineStr">
        <is>
          <t>✗</t>
        </is>
      </c>
      <c r="M7" s="12" t="inlineStr">
        <is>
          <t>NO</t>
        </is>
      </c>
      <c r="N7" s="6" t="inlineStr">
        <is>
          <t>E4: no SI path-planning method; E5: non-agricultural domain</t>
        </is>
      </c>
      <c r="O7" s="6" t="inlineStr">
        <is>
          <t>honey bee; machine learning; neural network; sound processing; MFCC</t>
        </is>
      </c>
      <c r="P7" s="6" t="inlineStr">
        <is>
          <t>No UAV; LASSO is not an SI method; no path planning; beekeeping ≠ UAV agri application</t>
        </is>
      </c>
    </row>
    <row r="8" ht="46" customHeight="1">
      <c r="A8" s="13" t="inlineStr">
        <is>
          <t>M04</t>
        </is>
      </c>
      <c r="B8" s="14" t="inlineStr">
        <is>
          <t>Application Strategy of Unmanned Aerial Vehicle Swarms in Forest Fire Detection Based on the Fusion of Particle Swarm Optimization and Artificial Bee Colony Algorithm</t>
        </is>
      </c>
      <c r="C8" s="14" t="inlineStr">
        <is>
          <t>Yan, X.; Chen, R.</t>
        </is>
      </c>
      <c r="D8" s="15" t="n">
        <v>2024</v>
      </c>
      <c r="E8" s="14" t="inlineStr">
        <is>
          <t>Applied Sciences</t>
        </is>
      </c>
      <c r="F8" s="16" t="inlineStr">
        <is>
          <t>⚠ Review scope*</t>
        </is>
      </c>
      <c r="G8" s="17" t="inlineStr">
        <is>
          <t>10.3390/app14114937</t>
        </is>
      </c>
      <c r="H8" s="10" t="inlineStr">
        <is>
          <t>✓</t>
        </is>
      </c>
      <c r="I8" s="10" t="inlineStr">
        <is>
          <t>✓</t>
        </is>
      </c>
      <c r="J8" s="10" t="inlineStr">
        <is>
          <t>✓</t>
        </is>
      </c>
      <c r="K8" s="10" t="inlineStr">
        <is>
          <t>✓</t>
        </is>
      </c>
      <c r="L8" s="10" t="inlineStr">
        <is>
          <t>✓</t>
        </is>
      </c>
      <c r="M8" s="18" t="inlineStr">
        <is>
          <t>YES</t>
        </is>
      </c>
      <c r="N8" s="14" t="inlineStr">
        <is>
          <t>—</t>
        </is>
      </c>
      <c r="O8" s="14" t="inlineStr">
        <is>
          <t>UAV swarm; forest fire detection; PSO; ABC algorithm</t>
        </is>
      </c>
      <c r="P8" s="14" t="inlineStr">
        <is>
          <t>SI method (PSO+ABC) + UAV swarm path planning; domain is forest fire—not agricultural</t>
        </is>
      </c>
    </row>
    <row r="9" ht="46" customHeight="1">
      <c r="A9" s="5" t="inlineStr">
        <is>
          <t>M05</t>
        </is>
      </c>
      <c r="B9" s="6" t="inlineStr">
        <is>
          <t>Advanced UAV Material Transportation and Precision Delivery Utilizing the Whale-Swarm Hybrid Algorithm (WSHA) and APCR-YOLOv8 Model</t>
        </is>
      </c>
      <c r="C9" s="6" t="inlineStr">
        <is>
          <t>Wu, Y.; Wei, Z.; Liu, H.; Qi, J.; Su, X.; Yang, J.; Wu, Q.</t>
        </is>
      </c>
      <c r="D9" s="7" t="n">
        <v>2024</v>
      </c>
      <c r="E9" s="6" t="inlineStr">
        <is>
          <t>Applied Sciences</t>
        </is>
      </c>
      <c r="F9" s="16" t="inlineStr">
        <is>
          <t>⚠ Review scope*</t>
        </is>
      </c>
      <c r="G9" s="9" t="inlineStr">
        <is>
          <t>10.3390/app14156621</t>
        </is>
      </c>
      <c r="H9" s="10" t="inlineStr">
        <is>
          <t>✓</t>
        </is>
      </c>
      <c r="I9" s="10" t="inlineStr">
        <is>
          <t>✓</t>
        </is>
      </c>
      <c r="J9" s="10" t="inlineStr">
        <is>
          <t>✓</t>
        </is>
      </c>
      <c r="K9" s="10" t="inlineStr">
        <is>
          <t>✓</t>
        </is>
      </c>
      <c r="L9" s="11" t="inlineStr">
        <is>
          <t>✗</t>
        </is>
      </c>
      <c r="M9" s="12" t="inlineStr">
        <is>
          <t>NO</t>
        </is>
      </c>
      <c r="N9" s="6" t="inlineStr">
        <is>
          <t>E5: non-agricultural domain</t>
        </is>
      </c>
      <c r="O9" s="6" t="inlineStr">
        <is>
          <t>UAV; GTSP; WSHA; YOLOv8; path planning; delivery</t>
        </is>
      </c>
      <c r="P9" s="6" t="inlineStr">
        <is>
          <t>SI method (WOA+ABC hybrid) + UAV path planning; application is emergency airdrop, not agri</t>
        </is>
      </c>
    </row>
    <row r="11" ht="30" customHeight="1">
      <c r="A11" s="19" t="inlineStr">
        <is>
          <t>* Journals marked ⚠ (Fire, Applied Sciences) are not among the primary target venues (Drones, Remote Sensing, Sensors, CEA, Biosystems Eng., Precision Agriculture, IEEE Access). This does not affect inclusion decisions—journal scope is informational only. See manuscript Sec. 8 (Limitations) re: MDPI venue coverage bias.</t>
        </is>
      </c>
    </row>
  </sheetData>
  <mergeCells count="4">
    <mergeCell ref="A11:P11"/>
    <mergeCell ref="A1:P1"/>
    <mergeCell ref="A3:P3"/>
    <mergeCell ref="A2:P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showGridLines="0" workbookViewId="0">
      <pane ySplit="1" topLeftCell="A2" activePane="bottomLeft" state="frozen"/>
      <selection pane="bottomLeft" activeCell="A1" sqref="A1"/>
    </sheetView>
  </sheetViews>
  <sheetFormatPr baseColWidth="8" defaultRowHeight="15"/>
  <cols>
    <col width="12" customWidth="1" min="1" max="1"/>
    <col width="45" customWidth="1" min="2" max="2"/>
    <col width="28" customWidth="1" min="3" max="3"/>
    <col width="8" customWidth="1" min="4" max="4"/>
    <col width="22" customWidth="1" min="5" max="5"/>
    <col width="32" customWidth="1" min="6" max="6"/>
    <col width="12" customWidth="1" min="7" max="7"/>
  </cols>
  <sheetData>
    <row r="1" ht="26" customHeight="1">
      <c r="A1" s="1" t="inlineStr">
        <is>
          <t>SCREENING SUMMARY — PRISMA 2020 Compliant (Sec. 3.2)</t>
        </is>
      </c>
    </row>
    <row r="3" ht="20" customHeight="1">
      <c r="A3" s="20" t="inlineStr">
        <is>
          <t>A. RECORD FLOW</t>
        </is>
      </c>
    </row>
    <row r="4">
      <c r="A4" s="21" t="inlineStr">
        <is>
          <t>Records identified (this MDPI export)</t>
        </is>
      </c>
      <c r="B4" s="22" t="n"/>
      <c r="C4" s="22" t="n"/>
      <c r="D4" s="22" t="n"/>
      <c r="E4" s="23" t="n"/>
      <c r="F4" s="24">
        <f>COUNTA('Screening_Matrix'!A5:A9)</f>
        <v/>
      </c>
    </row>
    <row r="5">
      <c r="A5" s="25" t="inlineStr">
        <is>
          <t>Records after duplicate removal</t>
        </is>
      </c>
      <c r="B5" s="22" t="n"/>
      <c r="C5" s="22" t="n"/>
      <c r="D5" s="22" t="n"/>
      <c r="E5" s="23" t="n"/>
      <c r="F5" s="26">
        <f>COUNTA('Screening_Matrix'!A5:A9)</f>
        <v/>
      </c>
    </row>
    <row r="6">
      <c r="A6" s="21" t="inlineStr">
        <is>
          <t>Records screened (title/abstract)</t>
        </is>
      </c>
      <c r="B6" s="22" t="n"/>
      <c r="C6" s="22" t="n"/>
      <c r="D6" s="22" t="n"/>
      <c r="E6" s="23" t="n"/>
      <c r="F6" s="24">
        <f>COUNTA('Screening_Matrix'!A5:A9)</f>
        <v/>
      </c>
    </row>
    <row r="7">
      <c r="A7" s="25" t="inlineStr">
        <is>
          <t>Records excluded at title/abstract</t>
        </is>
      </c>
      <c r="B7" s="22" t="n"/>
      <c r="C7" s="22" t="n"/>
      <c r="D7" s="22" t="n"/>
      <c r="E7" s="23" t="n"/>
      <c r="F7" s="26">
        <f>COUNTIF('Screening_Matrix'!M5:M9,"NO")</f>
        <v/>
      </c>
    </row>
    <row r="8">
      <c r="A8" s="21" t="inlineStr">
        <is>
          <t>Records included</t>
        </is>
      </c>
      <c r="B8" s="22" t="n"/>
      <c r="C8" s="22" t="n"/>
      <c r="D8" s="22" t="n"/>
      <c r="E8" s="23" t="n"/>
      <c r="F8" s="24">
        <f>COUNTIF('Screening_Matrix'!M5:M9,"YES")</f>
        <v/>
      </c>
    </row>
    <row r="9">
      <c r="A9" s="25" t="inlineStr">
        <is>
          <t>Inclusion rate</t>
        </is>
      </c>
      <c r="B9" s="22" t="n"/>
      <c r="C9" s="22" t="n"/>
      <c r="D9" s="22" t="n"/>
      <c r="E9" s="23" t="n"/>
      <c r="F9" s="27">
        <f>B8/B4</f>
        <v/>
      </c>
    </row>
    <row r="11" ht="20" customHeight="1">
      <c r="A11" s="20" t="inlineStr">
        <is>
          <t>B. EXCLUSION REASONS</t>
        </is>
      </c>
    </row>
    <row r="12">
      <c r="A12" s="28" t="inlineStr">
        <is>
          <t>E1</t>
        </is>
      </c>
      <c r="B12" s="29" t="inlineStr">
        <is>
          <t>duplicate</t>
        </is>
      </c>
      <c r="F12" s="30">
        <f>COUNTIF('Screening_Matrix'!N5:N9,"*E1*")</f>
        <v/>
      </c>
    </row>
    <row r="13">
      <c r="A13" s="31" t="inlineStr">
        <is>
          <t>E2</t>
        </is>
      </c>
      <c r="B13" s="25" t="inlineStr">
        <is>
          <t>abstract-only / no full methodology</t>
        </is>
      </c>
      <c r="F13" s="26">
        <f>COUNTIF('Screening_Matrix'!N5:N9,"*E2*")</f>
        <v/>
      </c>
    </row>
    <row r="14">
      <c r="A14" s="28" t="inlineStr">
        <is>
          <t>E3</t>
        </is>
      </c>
      <c r="B14" s="29" t="inlineStr">
        <is>
          <t>single-UAV only, no multi-UAV framework</t>
        </is>
      </c>
      <c r="F14" s="30">
        <f>COUNTIF('Screening_Matrix'!N5:N9,"*E3*")</f>
        <v/>
      </c>
    </row>
    <row r="15">
      <c r="A15" s="31" t="inlineStr">
        <is>
          <t>E4</t>
        </is>
      </c>
      <c r="B15" s="25" t="inlineStr">
        <is>
          <t>non-SI methods only</t>
        </is>
      </c>
      <c r="F15" s="26">
        <f>COUNTIF('Screening_Matrix'!N5:N9,"*E4*")</f>
        <v/>
      </c>
    </row>
    <row r="16">
      <c r="A16" s="28" t="inlineStr">
        <is>
          <t>E5</t>
        </is>
      </c>
      <c r="B16" s="29" t="inlineStr">
        <is>
          <t>exclusively non-agricultural domain</t>
        </is>
      </c>
      <c r="F16" s="30">
        <f>COUNTIF('Screening_Matrix'!N5:N9,"*E5*")</f>
        <v/>
      </c>
    </row>
    <row r="19" ht="20" customHeight="1">
      <c r="A19" s="20" t="inlineStr">
        <is>
          <t>C. JOURNAL SCOPE ANALYSIS</t>
        </is>
      </c>
    </row>
    <row r="20">
      <c r="A20" s="32" t="inlineStr">
        <is>
          <t>In-scope journals</t>
        </is>
      </c>
      <c r="F20" s="33">
        <f>COUNTIF('Screening_Matrix'!F5:F9,"✓*")</f>
        <v/>
      </c>
    </row>
    <row r="21">
      <c r="A21" s="25" t="inlineStr">
        <is>
          <t>Out-of-scope journals</t>
        </is>
      </c>
      <c r="F21" s="26">
        <f>COUNTIF('Screening_Matrix'!F5:F9,"⚠*")</f>
        <v/>
      </c>
    </row>
    <row r="24" ht="20" customHeight="1">
      <c r="A24" s="34" t="inlineStr">
        <is>
          <t>D. INCLUDED STUDIES — For Table 2 of Manuscript</t>
        </is>
      </c>
    </row>
    <row r="25" ht="18" customHeight="1">
      <c r="A25" s="35" t="inlineStr">
        <is>
          <t>ID</t>
        </is>
      </c>
      <c r="B25" s="35" t="inlineStr">
        <is>
          <t>Title</t>
        </is>
      </c>
      <c r="C25" s="35" t="inlineStr">
        <is>
          <t>Authors</t>
        </is>
      </c>
      <c r="D25" s="35" t="inlineStr">
        <is>
          <t>Year</t>
        </is>
      </c>
      <c r="E25" s="35" t="inlineStr">
        <is>
          <t>Journal</t>
        </is>
      </c>
      <c r="F25" s="35" t="inlineStr">
        <is>
          <t>DOI</t>
        </is>
      </c>
    </row>
    <row r="26" ht="30" customHeight="1">
      <c r="A26" s="36" t="inlineStr">
        <is>
          <t>M04</t>
        </is>
      </c>
      <c r="B26" s="36" t="inlineStr">
        <is>
          <t>Application Strategy of Unmanned Aerial Vehicle Swarms in Forest Fire Detection Based on the Fusion of Particle Swarm Optimization and Artificial Bee Colony Algorithm</t>
        </is>
      </c>
      <c r="C26" s="36" t="inlineStr">
        <is>
          <t>Yan, X.; Chen, R.</t>
        </is>
      </c>
      <c r="D26" s="36" t="n">
        <v>2024</v>
      </c>
      <c r="E26" s="36" t="inlineStr">
        <is>
          <t>Applied Sciences</t>
        </is>
      </c>
      <c r="F26" s="36" t="inlineStr">
        <is>
          <t>10.3390/app14114937</t>
        </is>
      </c>
    </row>
    <row r="28" ht="60" customHeight="1">
      <c r="A28" s="37" t="inlineStr">
        <is>
          <t>Note: 0 studies from this MDPI Sensors Vol.21/22 export pass all 5 criteria because:
M01 (Sensors) fails I5 (military/location, not agricultural); M02 (Fire) fails I5 (disaster/fire, not agricultural); M03 (Applied Sci.) fails I4 (no SI path-planning method) and I5; M04 (Applied Sci.) fails I5 (forest fire, not agricultural); M05 (Applied Sci.) fails I5 (emergency delivery, not agricultural). All records should be filed as excluded under E5 in the master PRISMA flow.</t>
        </is>
      </c>
    </row>
  </sheetData>
  <mergeCells count="19">
    <mergeCell ref="B15:E15"/>
    <mergeCell ref="A6:E6"/>
    <mergeCell ref="A19:G19"/>
    <mergeCell ref="A28:G28"/>
    <mergeCell ref="A7:E7"/>
    <mergeCell ref="B16:E16"/>
    <mergeCell ref="A24:G24"/>
    <mergeCell ref="A11:G11"/>
    <mergeCell ref="A21:E21"/>
    <mergeCell ref="A1:G1"/>
    <mergeCell ref="B12:E12"/>
    <mergeCell ref="A5:E5"/>
    <mergeCell ref="A8:E8"/>
    <mergeCell ref="B14:E14"/>
    <mergeCell ref="A4:E4"/>
    <mergeCell ref="A20:E20"/>
    <mergeCell ref="A3:G3"/>
    <mergeCell ref="B13:E13"/>
    <mergeCell ref="A9:E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2026-03-28T22:45:11Z</dcterms:created>
  <dcterms:modified xmlns:dcterms="http://purl.org/dc/terms/" xmlns:xsi="http://www.w3.org/2001/XMLSchema-instance" xsi:type="dcterms:W3CDTF">2026-03-28T22:45:11Z</dcterms:modified>
</cp:coreProperties>
</file>