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_MD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sz val="9"/>
    </font>
    <font>
      <name val="Arial"/>
      <color rgb="002E75B6"/>
      <sz val="9"/>
    </font>
    <font>
      <name val="Arial"/>
      <b val="1"/>
      <color rgb="00375623"/>
      <sz val="11"/>
    </font>
    <font>
      <name val="Arial"/>
      <b val="1"/>
      <color rgb="009C0006"/>
      <sz val="11"/>
    </font>
    <font>
      <name val="Arial"/>
      <b val="1"/>
      <color rgb="009C0006"/>
      <sz val="10"/>
    </font>
    <font>
      <name val="Arial"/>
      <b val="1"/>
      <color rgb="00375623"/>
      <sz val="10"/>
    </font>
    <font>
      <name val="Arial"/>
      <b val="1"/>
      <color rgb="00FFFFFF"/>
      <sz val="11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7F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DDC1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DEEAF1"/>
      </patternFill>
    </fill>
  </fills>
  <borders count="7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vertical="center" wrapText="1"/>
    </xf>
    <xf numFmtId="0" fontId="5" fillId="4" borderId="2" applyAlignment="1" pivotButton="0" quotePrefix="0" xfId="0">
      <alignment vertical="center" wrapText="1"/>
    </xf>
    <xf numFmtId="0" fontId="6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vertical="center" wrapText="1"/>
    </xf>
    <xf numFmtId="0" fontId="5" fillId="8" borderId="2" applyAlignment="1" pivotButton="0" quotePrefix="0" xfId="0">
      <alignment vertical="center" wrapText="1"/>
    </xf>
    <xf numFmtId="0" fontId="9" fillId="9" borderId="2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1" fillId="10" borderId="2" applyAlignment="1" pivotButton="0" quotePrefix="0" xfId="0">
      <alignment horizontal="center" vertical="center"/>
    </xf>
    <xf numFmtId="164" fontId="11" fillId="1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30" customWidth="1" min="3" max="3"/>
    <col width="6" customWidth="1" min="4" max="4"/>
    <col width="18" customWidth="1" min="5" max="5"/>
    <col width="32" customWidth="1" min="6" max="6"/>
    <col width="10" customWidth="1" min="7" max="7"/>
    <col width="12" customWidth="1" min="8" max="8"/>
    <col width="10" customWidth="1" min="9" max="9"/>
    <col width="10" customWidth="1" min="10" max="10"/>
    <col width="8" customWidth="1" min="11" max="11"/>
    <col width="10" customWidth="1" min="12" max="12"/>
    <col width="32" customWidth="1" min="13" max="13"/>
    <col width="40" customWidth="1" min="14" max="14"/>
  </cols>
  <sheetData>
    <row r="1" ht="28" customHeight="1">
      <c r="A1" s="1" t="inlineStr">
        <is>
          <t>MDPI Literature Screening Matrix — Sensors Vol.21 Issue 22</t>
        </is>
      </c>
    </row>
    <row r="2" ht="20" customHeight="1">
      <c r="A2" s="2" t="inlineStr">
        <is>
          <t>Inclusion Criteria:  I1 = UAV/Drone topic  |  I2 = Sensor/Aerial imaging topic  |  I3 = Publication year 2019–2024  |  I4 = Swarm Intelligence method  |  I5 = DOI available</t>
        </is>
      </c>
    </row>
    <row r="3" ht="36" customHeight="1">
      <c r="A3" s="3" t="inlineStr">
        <is>
          <t>ID_MDPI</t>
        </is>
      </c>
      <c r="B3" s="3" t="inlineStr">
        <is>
          <t>Title</t>
        </is>
      </c>
      <c r="C3" s="3" t="inlineStr">
        <is>
          <t>Authors</t>
        </is>
      </c>
      <c r="D3" s="3" t="inlineStr">
        <is>
          <t>Year</t>
        </is>
      </c>
      <c r="E3" s="3" t="inlineStr">
        <is>
          <t>Journal</t>
        </is>
      </c>
      <c r="F3" s="3" t="inlineStr">
        <is>
          <t>DOI</t>
        </is>
      </c>
      <c r="G3" s="3" t="inlineStr">
        <is>
          <t>Pass_I1
(UAV/Drone)</t>
        </is>
      </c>
      <c r="H3" s="3" t="inlineStr">
        <is>
          <t>Pass_I2
(Sensor/Imaging)</t>
        </is>
      </c>
      <c r="I3" s="3" t="inlineStr">
        <is>
          <t>Pass_I3
(Year range)</t>
        </is>
      </c>
      <c r="J3" s="3" t="inlineStr">
        <is>
          <t>Pass_I4
(SI method)</t>
        </is>
      </c>
      <c r="K3" s="3" t="inlineStr">
        <is>
          <t>Pass_I5
(DOI)</t>
        </is>
      </c>
      <c r="L3" s="3" t="inlineStr">
        <is>
          <t>Included</t>
        </is>
      </c>
      <c r="M3" s="3" t="inlineStr">
        <is>
          <t>Reason_Excluded</t>
        </is>
      </c>
      <c r="N3" s="3" t="inlineStr">
        <is>
          <t>Keywords</t>
        </is>
      </c>
    </row>
    <row r="4" ht="38" customHeight="1">
      <c r="A4" s="4" t="inlineStr">
        <is>
          <t>M01</t>
        </is>
      </c>
      <c r="B4" s="5" t="inlineStr">
        <is>
          <t>An Optimal Geometry Configuration Algorithm of Hybrid Semi-Passive Location System Based on Mayfly Optimization Algorithm</t>
        </is>
      </c>
      <c r="C4" s="5" t="inlineStr">
        <is>
          <t>Hu, A.; Deng, Z.; Yang, H.; Zhang, Y.; Gao, Y.; Zhao, D.</t>
        </is>
      </c>
      <c r="D4" s="4" t="n">
        <v>2021</v>
      </c>
      <c r="E4" s="5" t="inlineStr">
        <is>
          <t>Sensors</t>
        </is>
      </c>
      <c r="F4" s="6" t="inlineStr">
        <is>
          <t>10.3390/s21227484</t>
        </is>
      </c>
      <c r="G4" s="7" t="inlineStr">
        <is>
          <t>✓</t>
        </is>
      </c>
      <c r="H4" s="8" t="inlineStr">
        <is>
          <t>✗</t>
        </is>
      </c>
      <c r="I4" s="7" t="inlineStr">
        <is>
          <t>✓</t>
        </is>
      </c>
      <c r="J4" s="7" t="inlineStr">
        <is>
          <t>✓</t>
        </is>
      </c>
      <c r="K4" s="7" t="inlineStr">
        <is>
          <t>✓</t>
        </is>
      </c>
      <c r="L4" s="9" t="inlineStr">
        <is>
          <t>NO</t>
        </is>
      </c>
      <c r="M4" s="5" t="inlineStr">
        <is>
          <t>E2: no sensor/imaging topic</t>
        </is>
      </c>
      <c r="N4" s="5" t="inlineStr">
        <is>
          <t>UAV; TDOA; AOA; MOA; semi-passive location</t>
        </is>
      </c>
    </row>
    <row r="5" ht="38" customHeight="1">
      <c r="A5" s="10" t="inlineStr">
        <is>
          <t>M02</t>
        </is>
      </c>
      <c r="B5" s="11" t="inlineStr">
        <is>
          <t>A Framework for Burnt Area Mapping and Evacuation Problem Using Aerial Imagery Analysis</t>
        </is>
      </c>
      <c r="C5" s="11" t="inlineStr">
        <is>
          <t>Munawar, H.S.; Gharineiat, Z.; Akram, J.; Imran Khan, S.</t>
        </is>
      </c>
      <c r="D5" s="10" t="n">
        <v>2022</v>
      </c>
      <c r="E5" s="11" t="inlineStr">
        <is>
          <t>Fire</t>
        </is>
      </c>
      <c r="F5" s="12" t="inlineStr">
        <is>
          <t>10.3390/fire5040122</t>
        </is>
      </c>
      <c r="G5" s="7" t="inlineStr">
        <is>
          <t>✓</t>
        </is>
      </c>
      <c r="H5" s="7" t="inlineStr">
        <is>
          <t>✓</t>
        </is>
      </c>
      <c r="I5" s="7" t="inlineStr">
        <is>
          <t>✓</t>
        </is>
      </c>
      <c r="J5" s="7" t="inlineStr">
        <is>
          <t>✓</t>
        </is>
      </c>
      <c r="K5" s="7" t="inlineStr">
        <is>
          <t>✓</t>
        </is>
      </c>
      <c r="L5" s="13" t="inlineStr">
        <is>
          <t>YES</t>
        </is>
      </c>
      <c r="M5" s="11" t="inlineStr">
        <is>
          <t>-</t>
        </is>
      </c>
      <c r="N5" s="11" t="inlineStr">
        <is>
          <t>UAV; bushfires; burnt area; damage detection; ABC algorithm</t>
        </is>
      </c>
    </row>
    <row r="6" ht="38" customHeight="1">
      <c r="A6" s="4" t="inlineStr">
        <is>
          <t>M03</t>
        </is>
      </c>
      <c r="B6" s="5" t="inlineStr">
        <is>
          <t>MFCC Selection by LASSO for Honey Bee Classification</t>
        </is>
      </c>
      <c r="C6" s="5" t="inlineStr">
        <is>
          <t>Libal, U.; Biernacki, P.</t>
        </is>
      </c>
      <c r="D6" s="4" t="n">
        <v>2024</v>
      </c>
      <c r="E6" s="5" t="inlineStr">
        <is>
          <t>Applied Sciences</t>
        </is>
      </c>
      <c r="F6" s="6" t="inlineStr">
        <is>
          <t>10.3390/app14020913</t>
        </is>
      </c>
      <c r="G6" s="8" t="inlineStr">
        <is>
          <t>✗</t>
        </is>
      </c>
      <c r="H6" s="8" t="inlineStr">
        <is>
          <t>✗</t>
        </is>
      </c>
      <c r="I6" s="7" t="inlineStr">
        <is>
          <t>✓</t>
        </is>
      </c>
      <c r="J6" s="8" t="inlineStr">
        <is>
          <t>✗</t>
        </is>
      </c>
      <c r="K6" s="7" t="inlineStr">
        <is>
          <t>✓</t>
        </is>
      </c>
      <c r="L6" s="9" t="inlineStr">
        <is>
          <t>NO</t>
        </is>
      </c>
      <c r="M6" s="5" t="inlineStr">
        <is>
          <t>E1: no UAV/drone topic; E2: no sensor/imaging topic; E4: non-SI method</t>
        </is>
      </c>
      <c r="N6" s="5" t="inlineStr">
        <is>
          <t>honey bee; machine learning; neural network; sound processing</t>
        </is>
      </c>
    </row>
    <row r="7" ht="38" customHeight="1">
      <c r="A7" s="10" t="inlineStr">
        <is>
          <t>M04</t>
        </is>
      </c>
      <c r="B7" s="11" t="inlineStr">
        <is>
          <t>Application Strategy of Unmanned Aerial Vehicle Swarms in Forest Fire Detection Based on the Fusion of Particle Swarm Optimization and Artificial Bee Colony Algorithm</t>
        </is>
      </c>
      <c r="C7" s="11" t="inlineStr">
        <is>
          <t>Yan, X.; Chen, R.</t>
        </is>
      </c>
      <c r="D7" s="10" t="n">
        <v>2024</v>
      </c>
      <c r="E7" s="11" t="inlineStr">
        <is>
          <t>Applied Sciences</t>
        </is>
      </c>
      <c r="F7" s="12" t="inlineStr">
        <is>
          <t>10.3390/app14114937</t>
        </is>
      </c>
      <c r="G7" s="7" t="inlineStr">
        <is>
          <t>✓</t>
        </is>
      </c>
      <c r="H7" s="7" t="inlineStr">
        <is>
          <t>✓</t>
        </is>
      </c>
      <c r="I7" s="7" t="inlineStr">
        <is>
          <t>✓</t>
        </is>
      </c>
      <c r="J7" s="7" t="inlineStr">
        <is>
          <t>✓</t>
        </is>
      </c>
      <c r="K7" s="7" t="inlineStr">
        <is>
          <t>✓</t>
        </is>
      </c>
      <c r="L7" s="13" t="inlineStr">
        <is>
          <t>YES</t>
        </is>
      </c>
      <c r="M7" s="11" t="inlineStr">
        <is>
          <t>-</t>
        </is>
      </c>
      <c r="N7" s="11" t="inlineStr">
        <is>
          <t>UAV swarm; forest fire detection; PSO; ABC algorithm</t>
        </is>
      </c>
    </row>
    <row r="8" ht="38" customHeight="1">
      <c r="A8" s="4" t="inlineStr">
        <is>
          <t>M05</t>
        </is>
      </c>
      <c r="B8" s="5" t="inlineStr">
        <is>
          <t>Advanced UAV Material Transportation and Precision Delivery Utilizing the Whale-Swarm Hybrid Algorithm (WSHA) and APCR-YOLOv8 Model</t>
        </is>
      </c>
      <c r="C8" s="5" t="inlineStr">
        <is>
          <t>Wu, Y.; Wei, Z.; Liu, H.; Qi, J.; Su, X.; Yang, J.; Wu, Q.</t>
        </is>
      </c>
      <c r="D8" s="4" t="n">
        <v>2024</v>
      </c>
      <c r="E8" s="5" t="inlineStr">
        <is>
          <t>Applied Sciences</t>
        </is>
      </c>
      <c r="F8" s="6" t="inlineStr">
        <is>
          <t>10.3390/app14156621</t>
        </is>
      </c>
      <c r="G8" s="7" t="inlineStr">
        <is>
          <t>✓</t>
        </is>
      </c>
      <c r="H8" s="8" t="inlineStr">
        <is>
          <t>✗</t>
        </is>
      </c>
      <c r="I8" s="7" t="inlineStr">
        <is>
          <t>✓</t>
        </is>
      </c>
      <c r="J8" s="7" t="inlineStr">
        <is>
          <t>✓</t>
        </is>
      </c>
      <c r="K8" s="7" t="inlineStr">
        <is>
          <t>✓</t>
        </is>
      </c>
      <c r="L8" s="9" t="inlineStr">
        <is>
          <t>NO</t>
        </is>
      </c>
      <c r="M8" s="5" t="inlineStr">
        <is>
          <t>E2: no sensor/imaging topic</t>
        </is>
      </c>
      <c r="N8" s="5" t="inlineStr">
        <is>
          <t>UAV; GTSP; WSHA; YOLOv8; lightweighting</t>
        </is>
      </c>
    </row>
    <row r="10" ht="22" customHeight="1">
      <c r="A10" s="14" t="inlineStr">
        <is>
          <t>SUMMARY</t>
        </is>
      </c>
    </row>
    <row r="11">
      <c r="A11" s="15" t="inlineStr">
        <is>
          <t>Total records</t>
        </is>
      </c>
      <c r="B11" s="16" t="n"/>
      <c r="C11" s="16" t="n"/>
      <c r="D11" s="16" t="n"/>
      <c r="E11" s="17" t="n"/>
      <c r="F11" s="18">
        <f>COUNTA(A4:A8)</f>
        <v/>
      </c>
    </row>
    <row r="12">
      <c r="A12" s="15" t="inlineStr">
        <is>
          <t>Included</t>
        </is>
      </c>
      <c r="B12" s="16" t="n"/>
      <c r="C12" s="16" t="n"/>
      <c r="D12" s="16" t="n"/>
      <c r="E12" s="17" t="n"/>
      <c r="F12" s="18">
        <f>COUNTIF(L4:L8,"YES")</f>
        <v/>
      </c>
    </row>
    <row r="13">
      <c r="A13" s="15" t="inlineStr">
        <is>
          <t>Excluded</t>
        </is>
      </c>
      <c r="B13" s="16" t="n"/>
      <c r="C13" s="16" t="n"/>
      <c r="D13" s="16" t="n"/>
      <c r="E13" s="17" t="n"/>
      <c r="F13" s="18">
        <f>COUNTIF(L4:L8,"NO")</f>
        <v/>
      </c>
    </row>
    <row r="14">
      <c r="A14" s="15" t="inlineStr">
        <is>
          <t>Inclusion rate</t>
        </is>
      </c>
      <c r="B14" s="16" t="n"/>
      <c r="C14" s="16" t="n"/>
      <c r="D14" s="16" t="n"/>
      <c r="E14" s="17" t="n"/>
      <c r="F14" s="19">
        <f>L12/L11</f>
        <v/>
      </c>
    </row>
  </sheetData>
  <mergeCells count="7">
    <mergeCell ref="A12:E12"/>
    <mergeCell ref="A10:F10"/>
    <mergeCell ref="A2:O2"/>
    <mergeCell ref="A11:E11"/>
    <mergeCell ref="A1:O1"/>
    <mergeCell ref="A13:E13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2026-03-28T22:36:50Z</dcterms:created>
  <dcterms:modified xmlns:dcterms="http://purl.org/dc/terms/" xmlns:xsi="http://www.w3.org/2001/XMLSchema-instance" xsi:type="dcterms:W3CDTF">2026-03-28T22:36:50Z</dcterms:modified>
</cp:coreProperties>
</file>