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2" activeTab="6" autoFilterDateGrouping="1"/>
  </bookViews>
  <sheets>
    <sheet name="TODOS_PAPERS" sheetId="1" state="visible" r:id="rId1"/>
    <sheet name="PSO_ALGORITMOS" sheetId="2" state="visible" r:id="rId2"/>
    <sheet name="ACO_ALGORITMOS" sheetId="3" state="visible" r:id="rId3"/>
    <sheet name="AGRICULTURA" sheetId="4" state="visible" r:id="rId4"/>
    <sheet name="INSPECCION" sheetId="5" state="visible" r:id="rId5"/>
    <sheet name="ALTA_PRIORIDAD" sheetId="6" state="visible" r:id="rId6"/>
    <sheet name="ESTADISTICAS" sheetId="7" state="visible" r:id="rId7"/>
    <sheet name="LISTAS_VALIDACION" sheetId="8" state="visible" r:id="rId8"/>
  </sheets>
  <definedNames>
    <definedName name="_xlnm._FilterDatabase" localSheetId="0" hidden="1">'TODOS_PAPERS'!$A$1:$AU$3</definedName>
  </definedNames>
  <calcPr calcId="191029" fullCalcOnLoad="1"/>
</workbook>
</file>

<file path=xl/styles.xml><?xml version="1.0" encoding="utf-8"?>
<styleSheet xmlns="http://schemas.openxmlformats.org/spreadsheetml/2006/main">
  <numFmts count="3">
    <numFmt numFmtId="164" formatCode="d&quot; de &quot;mmmm&quot; de &quot;yyyy"/>
    <numFmt numFmtId="165" formatCode="d/mm/yyyy"/>
    <numFmt numFmtId="166" formatCode="yyyy-mm-dd h:mm:ss"/>
  </numFmts>
  <fonts count="8">
    <font>
      <name val="Calibri"/>
      <color theme="1"/>
      <sz val="12"/>
      <scheme val="minor"/>
    </font>
    <font>
      <name val="Calibri"/>
      <color theme="0"/>
      <sz val="11"/>
    </font>
    <font>
      <name val="Calibri"/>
      <color rgb="FFFFFFFF"/>
      <sz val="11"/>
    </font>
    <font>
      <name val="Calibri"/>
      <color theme="1"/>
      <sz val="12"/>
      <scheme val="minor"/>
    </font>
    <font>
      <name val="Calibri"/>
      <color theme="1"/>
      <sz val="12"/>
    </font>
    <font>
      <name val="Calibri"/>
      <color rgb="FF0000FF"/>
      <sz val="12"/>
      <u val="single"/>
    </font>
    <font>
      <name val="Calibri"/>
      <color rgb="FF0000FF"/>
      <sz val="12"/>
      <u val="single"/>
    </font>
    <font>
      <name val="Calibri"/>
      <color rgb="FF006100"/>
      <sz val="12"/>
    </font>
  </fonts>
  <fills count="4">
    <fill>
      <patternFill/>
    </fill>
    <fill>
      <patternFill patternType="gray125"/>
    </fill>
    <fill>
      <patternFill patternType="solid">
        <fgColor theme="7"/>
        <bgColor theme="7"/>
      </patternFill>
    </fill>
    <fill>
      <patternFill patternType="solid">
        <fgColor rgb="FFC6EFCE"/>
        <bgColor rgb="FFC6EFCE"/>
      </patternFill>
    </fill>
  </fills>
  <borders count="2">
    <border>
      <left/>
      <right/>
      <top/>
      <bottom/>
      <diagonal/>
    </border>
    <border>
      <left/>
      <right/>
      <top/>
      <bottom/>
      <diagonal/>
    </border>
  </borders>
  <cellStyleXfs count="1">
    <xf numFmtId="0" fontId="3" fillId="0" borderId="1"/>
  </cellStyleXfs>
  <cellXfs count="16">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4" fillId="0" borderId="0" applyAlignment="1" pivotButton="0" quotePrefix="1" xfId="0">
      <alignment wrapText="1"/>
    </xf>
    <xf numFmtId="164" fontId="3" fillId="0" borderId="0" pivotButton="0" quotePrefix="0" xfId="0"/>
    <xf numFmtId="0" fontId="3" fillId="0" borderId="0" pivotButton="0" quotePrefix="0" xfId="0"/>
    <xf numFmtId="14" fontId="3" fillId="0" borderId="0" pivotButton="0" quotePrefix="0" xfId="0"/>
    <xf numFmtId="0" fontId="4" fillId="0" borderId="0" applyAlignment="1" pivotButton="0" quotePrefix="0" xfId="0">
      <alignment wrapText="1"/>
    </xf>
    <xf numFmtId="0" fontId="4" fillId="0" borderId="0" pivotButton="0" quotePrefix="0" xfId="0"/>
    <xf numFmtId="0" fontId="7" fillId="3" borderId="0" pivotButton="0" quotePrefix="0" xfId="0"/>
    <xf numFmtId="164" fontId="4" fillId="0" borderId="0" applyAlignment="1" pivotButton="0" quotePrefix="0" xfId="0">
      <alignment horizontal="right"/>
    </xf>
    <xf numFmtId="165" fontId="4" fillId="0" borderId="0" pivotButton="0" quotePrefix="0" xfId="0"/>
    <xf numFmtId="166" fontId="0" fillId="0" borderId="0" pivotButton="0" quotePrefix="0" xfId="0"/>
  </cellXfs>
  <cellStyles count="1">
    <cellStyle name="Normal" xfId="0" builtinId="0"/>
  </cellStyles>
  <dxfs count="9">
    <dxf>
      <font>
        <color rgb="FF9C0006"/>
      </font>
    </dxf>
    <dxf>
      <font>
        <color rgb="FF3F3F3F"/>
      </font>
      <fill>
        <patternFill patternType="solid">
          <fgColor rgb="FFD8D8D8"/>
          <bgColor rgb="FFD8D8D8"/>
        </patternFill>
      </fill>
    </dxf>
    <dxf>
      <font>
        <color rgb="FF9C5700"/>
      </font>
      <fill>
        <patternFill patternType="solid">
          <fgColor rgb="FFFFEB9C"/>
          <bgColor rgb="FFFFEB9C"/>
        </patternFill>
      </fill>
    </dxf>
    <dxf>
      <font>
        <color rgb="FF1F497D"/>
      </font>
      <fill>
        <patternFill patternType="solid">
          <fgColor rgb="FF92CDDC"/>
          <bgColor rgb="FF92CDD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6/j.swevo.2021.101005" TargetMode="External" Id="rId1" /><Relationship Type="http://schemas.openxmlformats.org/officeDocument/2006/relationships/hyperlink" Target="http://www.elsevier.com/locate/swevo" TargetMode="External" Id="rId2" /><Relationship Type="http://schemas.openxmlformats.org/officeDocument/2006/relationships/hyperlink" Target="https://doi.org/10.3390/s21041224" TargetMode="External" Id="rId3" /><Relationship Type="http://schemas.openxmlformats.org/officeDocument/2006/relationships/hyperlink" Target="https://www.mdpi.com/1424-8220/21/4/1224" TargetMode="External" Id="rId4" /><Relationship Type="http://schemas.openxmlformats.org/officeDocument/2006/relationships/hyperlink" Target="https://doi.org/10.3390/act11010004" TargetMode="External" Id="rId5" /><Relationship Type="http://schemas.openxmlformats.org/officeDocument/2006/relationships/hyperlink" Target="https://www.mdpi.com/2076-0825/11/1/4" TargetMode="External" Id="rId6" /><Relationship Type="http://schemas.openxmlformats.org/officeDocument/2006/relationships/hyperlink" Target="https://doi.org/10.3390/jmse9111243." TargetMode="External" Id="rId7" /><Relationship Type="http://schemas.openxmlformats.org/officeDocument/2006/relationships/hyperlink" Target="http://journals.sagepub.com/home/sci" TargetMode="External" Id="rId8" /><Relationship Type="http://schemas.openxmlformats.org/officeDocument/2006/relationships/hyperlink" Target="https://doi.org/10.1016/j.asoc.2021.107376" TargetMode="External" Id="rId9" /><Relationship Type="http://schemas.openxmlformats.org/officeDocument/2006/relationships/hyperlink" Target="https://doi.org/10.1007/s00521-021-06569-4" TargetMode="External" Id="rId10" /><Relationship Type="http://schemas.openxmlformats.org/officeDocument/2006/relationships/hyperlink" Target="https://doi.org/10.1080/02564602.2021.1894250" TargetMode="External" Id="rId11" /><Relationship Type="http://schemas.openxmlformats.org/officeDocument/2006/relationships/hyperlink" Target="https://doi.org/10.1155/2021/5158304" TargetMode="External" Id="rId12" /><Relationship Type="http://schemas.openxmlformats.org/officeDocument/2006/relationships/hyperlink" Target="https://onlinelibrary.wiley.com/doi/10.1155/2021/5158304" TargetMode="External" Id="rId13" /><Relationship Type="http://schemas.openxmlformats.org/officeDocument/2006/relationships/hyperlink" Target="https://doi.org/10.3390/app12188977" TargetMode="External" Id="rId14" /><Relationship Type="http://schemas.openxmlformats.org/officeDocument/2006/relationships/hyperlink" Target="https://doi.org/10.3390/s22031235" TargetMode="External" Id="rId15" /><Relationship Type="http://schemas.openxmlformats.org/officeDocument/2006/relationships/hyperlink" Target="https://doi.org/10.3390/drones6050126" TargetMode="External" Id="rId16" /><Relationship Type="http://schemas.openxmlformats.org/officeDocument/2006/relationships/hyperlink" Target="https://doi.org/10.1155/2022/8519708" TargetMode="External" Id="rId17" /><Relationship Type="http://schemas.openxmlformats.org/officeDocument/2006/relationships/hyperlink" Target="https://doi.org/10.1007/s11831-022-09742-7" TargetMode="External" Id="rId18" /><Relationship Type="http://schemas.openxmlformats.org/officeDocument/2006/relationships/hyperlink" Target="https://link.springer.com/article/10.1007/s11831-022-09742-7" TargetMode="External" Id="rId19" /><Relationship Type="http://schemas.openxmlformats.org/officeDocument/2006/relationships/hyperlink" Target="https://doi.org/10.1007/s40031-022-00747-1" TargetMode="External" Id="rId20" /><Relationship Type="http://schemas.openxmlformats.org/officeDocument/2006/relationships/hyperlink" Target="https://doi.org/10.1007/s40031-022-00747-1" TargetMode="External" Id="rId21" /><Relationship Type="http://schemas.openxmlformats.org/officeDocument/2006/relationships/hyperlink" Target="https://doi.org/10.3390/s22145395" TargetMode="External" Id="rId22" /><Relationship Type="http://schemas.openxmlformats.org/officeDocument/2006/relationships/hyperlink" Target="https://www.mdpi.com/1424-8220/22/14/5395" TargetMode="External" Id="rId23" /></Relationships>
</file>

<file path=xl/worksheets/sheet1.xml><?xml version="1.0" encoding="utf-8"?>
<worksheet xmlns="http://schemas.openxmlformats.org/spreadsheetml/2006/main">
  <sheetPr>
    <outlinePr summaryBelow="1" summaryRight="1"/>
    <pageSetUpPr/>
  </sheetPr>
  <dimension ref="A1:CG122"/>
  <sheetViews>
    <sheetView workbookViewId="0">
      <pane ySplit="1" topLeftCell="A16" activePane="bottomLeft" state="frozen"/>
      <selection pane="bottomLeft" activeCell="AU101" sqref="AU101"/>
    </sheetView>
  </sheetViews>
  <sheetFormatPr baseColWidth="8" defaultColWidth="11.25" defaultRowHeight="15" customHeight="1"/>
  <cols>
    <col width="11.125" customWidth="1" min="1" max="1"/>
    <col width="45" customWidth="1" min="2" max="2"/>
    <col width="22.75" customWidth="1" min="3" max="3"/>
    <col width="12.5" customWidth="1" min="4" max="4"/>
    <col width="45.75" customWidth="1" min="5" max="5"/>
    <col width="19.125" customWidth="1" min="6" max="6"/>
    <col width="18.375" customWidth="1" min="7" max="7"/>
    <col width="25.125" customWidth="1" min="8" max="8"/>
    <col width="41.125" customWidth="1" min="9" max="9"/>
    <col width="24.375" customWidth="1" min="10" max="10"/>
    <col width="16.25" customWidth="1" min="11" max="11"/>
    <col width="21.25" customWidth="1" min="12" max="12"/>
    <col width="23.875" customWidth="1" min="13" max="13"/>
    <col width="27.125" customWidth="1" min="14" max="14"/>
    <col width="24.875" customWidth="1" min="15" max="15"/>
    <col width="34.125" customWidth="1" min="16" max="16"/>
    <col width="19.125" customWidth="1" min="17" max="17"/>
    <col width="20.75" customWidth="1" min="18" max="18"/>
    <col width="19.25" customWidth="1" min="19" max="19"/>
    <col width="30.5" customWidth="1" min="20" max="20"/>
    <col width="23" customWidth="1" min="21" max="21"/>
    <col width="18.375" customWidth="1" min="22" max="22"/>
    <col width="38" customWidth="1" min="23" max="23"/>
    <col width="33.875" customWidth="1" min="24" max="24"/>
    <col width="30.625" customWidth="1" min="25" max="25"/>
    <col width="33.625" customWidth="1" min="26" max="26"/>
    <col width="25.25" customWidth="1" min="27" max="27"/>
    <col width="23.5" customWidth="1" min="28" max="28"/>
    <col width="77.75" customWidth="1" min="29" max="29"/>
    <col width="55" customWidth="1" min="30" max="30"/>
    <col width="34.5" customWidth="1" min="31" max="31"/>
    <col width="70.625" customWidth="1" min="32" max="32"/>
    <col width="50.5" customWidth="1" min="33" max="33"/>
    <col width="17" customWidth="1" min="34" max="34"/>
    <col width="27.375" customWidth="1" min="35" max="35"/>
    <col width="71.75" customWidth="1" min="36" max="36"/>
    <col width="26.75" customWidth="1" min="37" max="37"/>
    <col width="39.5" customWidth="1" min="38" max="38"/>
    <col width="24.625" customWidth="1" min="39" max="39"/>
    <col width="22.875" customWidth="1" min="40" max="40"/>
    <col width="21" customWidth="1" min="41" max="41"/>
    <col width="21.625" customWidth="1" min="42" max="42"/>
    <col width="24.875" customWidth="1" min="43" max="43"/>
    <col width="21" customWidth="1" min="44" max="44"/>
    <col width="18.625" customWidth="1" min="45" max="45"/>
    <col width="21.75" customWidth="1" min="46" max="46"/>
    <col width="36.125" customWidth="1" min="47" max="85"/>
  </cols>
  <sheetData>
    <row r="1" ht="15.75" customHeight="1">
      <c r="A1" s="1" t="inlineStr">
        <is>
          <t>ID</t>
        </is>
      </c>
      <c r="B1" s="1" t="inlineStr">
        <is>
          <t>Título Completo</t>
        </is>
      </c>
      <c r="C1" s="1" t="inlineStr">
        <is>
          <t>Autores</t>
        </is>
      </c>
      <c r="D1" s="1" t="inlineStr">
        <is>
          <t>Año</t>
        </is>
      </c>
      <c r="E1" s="1" t="inlineStr">
        <is>
          <t>Fuente</t>
        </is>
      </c>
      <c r="F1" s="1" t="inlineStr">
        <is>
          <t>Tipo Publicación</t>
        </is>
      </c>
      <c r="G1" s="1" t="inlineStr">
        <is>
          <t>Factor Impacto</t>
        </is>
      </c>
      <c r="H1" s="1" t="inlineStr">
        <is>
          <t>DOI</t>
        </is>
      </c>
      <c r="I1" s="1" t="inlineStr">
        <is>
          <t>URL</t>
        </is>
      </c>
      <c r="J1" s="1" t="inlineStr">
        <is>
          <t>Base de Datos</t>
        </is>
      </c>
      <c r="K1" s="1" t="inlineStr">
        <is>
          <t>Citaciones</t>
        </is>
      </c>
      <c r="L1" s="1" t="inlineStr">
        <is>
          <t>Algoritmo Principal</t>
        </is>
      </c>
      <c r="M1" s="1" t="inlineStr">
        <is>
          <t>Algoritmo Secundario</t>
        </is>
      </c>
      <c r="N1" s="1" t="inlineStr">
        <is>
          <t>Variante Específica</t>
        </is>
      </c>
      <c r="O1" s="1" t="inlineStr">
        <is>
          <t>Aplicación Principal</t>
        </is>
      </c>
      <c r="P1" s="1" t="inlineStr">
        <is>
          <t>Aplicación Específica</t>
        </is>
      </c>
      <c r="Q1" s="1" t="inlineStr">
        <is>
          <t>Tamaño Flota</t>
        </is>
      </c>
      <c r="R1" s="1" t="inlineStr">
        <is>
          <t>Tipo Ambiente</t>
        </is>
      </c>
      <c r="S1" s="1" t="inlineStr">
        <is>
          <t>Obstáculos</t>
        </is>
      </c>
      <c r="T1" s="1" t="inlineStr">
        <is>
          <t>Métrica: Tiempo</t>
        </is>
      </c>
      <c r="U1" s="1" t="inlineStr">
        <is>
          <t>Métrica: Energía</t>
        </is>
      </c>
      <c r="V1" s="1" t="inlineStr">
        <is>
          <t>Métrica: Cobertura</t>
        </is>
      </c>
      <c r="W1" s="1" t="inlineStr">
        <is>
          <t>Métrica: Convergencia</t>
        </is>
      </c>
      <c r="X1" s="1" t="inlineStr">
        <is>
          <t>Complejidad Computacional</t>
        </is>
      </c>
      <c r="Y1" s="1" t="inlineStr">
        <is>
          <t>Validación</t>
        </is>
      </c>
      <c r="Z1" s="1" t="inlineStr">
        <is>
          <t>Entorno Simulación</t>
        </is>
      </c>
      <c r="AA1" s="1" t="inlineStr">
        <is>
          <t>Pruebas Reales</t>
        </is>
      </c>
      <c r="AB1" s="1" t="inlineStr">
        <is>
          <t>Tamaño Dataset</t>
        </is>
      </c>
      <c r="AC1" s="1" t="inlineStr">
        <is>
          <t>Ventajas Identificadas</t>
        </is>
      </c>
      <c r="AD1" s="1" t="inlineStr">
        <is>
          <t>Limitaciones</t>
        </is>
      </c>
      <c r="AE1" s="1" t="inlineStr">
        <is>
          <t>Comparación Con</t>
        </is>
      </c>
      <c r="AF1" s="1" t="inlineStr">
        <is>
          <t>Contribución Original</t>
        </is>
      </c>
      <c r="AG1" s="1" t="inlineStr">
        <is>
          <t>Trabajo Futuro</t>
        </is>
      </c>
      <c r="AH1" s="1" t="inlineStr">
        <is>
          <t>Relevancia</t>
        </is>
      </c>
      <c r="AI1" s="1" t="inlineStr">
        <is>
          <t>Sección Paper</t>
        </is>
      </c>
      <c r="AJ1" s="2" t="inlineStr">
        <is>
          <t>Citación BibTeX</t>
        </is>
      </c>
      <c r="AK1" s="1" t="inlineStr">
        <is>
          <t>Palabras Clave</t>
        </is>
      </c>
      <c r="AL1" s="1" t="inlineStr">
        <is>
          <t>Abstract Resumido</t>
        </is>
      </c>
      <c r="AM1" s="1" t="inlineStr">
        <is>
          <t>Figuras Relevantes</t>
        </is>
      </c>
      <c r="AN1" s="1" t="inlineStr">
        <is>
          <t>Citar: Introducción</t>
        </is>
      </c>
      <c r="AO1" s="1" t="inlineStr">
        <is>
          <t>Citar: Metodología</t>
        </is>
      </c>
      <c r="AP1" s="1" t="inlineStr">
        <is>
          <t>Citar: Análisis</t>
        </is>
      </c>
      <c r="AQ1" s="1" t="inlineStr">
        <is>
          <t>Citar: Conclusiones</t>
        </is>
      </c>
      <c r="AR1" s="1" t="inlineStr">
        <is>
          <t>Estado Lectura</t>
        </is>
      </c>
      <c r="AS1" s="1" t="inlineStr">
        <is>
          <t>Fecha Análisis</t>
        </is>
      </c>
      <c r="AT1" s="1" t="inlineStr">
        <is>
          <t>Notas Personales</t>
        </is>
      </c>
      <c r="AU1" s="1" t="inlineStr">
        <is>
          <t>Conflictos/Dudas</t>
        </is>
      </c>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row>
    <row r="2" ht="299.25" customHeight="1">
      <c r="A2" s="8" t="inlineStr">
        <is>
          <t>PAPER_001</t>
        </is>
      </c>
      <c r="B2" s="10" t="inlineStr">
        <is>
          <t>Coverage path planning of heterogeneous unmanned aerial vehicles based on ant colony system</t>
        </is>
      </c>
      <c r="C2" s="10" t="inlineStr">
        <is>
          <t>Jinchao Chen, Fuyuan Ling, Ying Zhang, Tao You, Yifan Liu, Xiaoyan Du</t>
        </is>
      </c>
      <c r="D2" s="8" t="n">
        <v>2021</v>
      </c>
      <c r="E2" s="8" t="inlineStr">
        <is>
          <t>Swarm and Evolutionary Computation</t>
        </is>
      </c>
      <c r="F2" s="8" t="inlineStr">
        <is>
          <t>Journal</t>
        </is>
      </c>
      <c r="G2" s="10" t="inlineStr">
        <is>
          <t>SCI (Science Citation Index)</t>
        </is>
      </c>
      <c r="H2" s="4" t="inlineStr">
        <is>
          <t>https://doi.org/10.1016/j.swevo.2021.101005</t>
        </is>
      </c>
      <c r="I2" s="5" t="inlineStr">
        <is>
          <t>www.elsevier.com/locate/swevo</t>
        </is>
      </c>
      <c r="J2" s="8" t="inlineStr">
        <is>
          <t>ScienceDirect</t>
        </is>
      </c>
      <c r="K2" s="10" t="inlineStr">
        <is>
          <t>No indicado en las fuentes</t>
        </is>
      </c>
      <c r="L2" s="8" t="inlineStr">
        <is>
          <t>ACO</t>
        </is>
      </c>
      <c r="M2" s="10" t="inlineStr">
        <is>
          <t>MILP, Vecino más cercano, Algoritmo UUniFast</t>
        </is>
      </c>
      <c r="N2" s="10" t="inlineStr">
        <is>
          <t>APPA (ACS-based path planning algorithm)</t>
        </is>
      </c>
      <c r="O2" s="8" t="inlineStr">
        <is>
          <t>Otro</t>
        </is>
      </c>
      <c r="P2" s="10" t="inlineStr">
        <is>
          <t>Búsqueda cooperativa en sistemas de gran escala con múltiples regiones separadas y UAVs heterogéneos</t>
        </is>
      </c>
      <c r="Q2" s="10" t="inlineStr">
        <is>
          <t>De 2 a 10 UAVs</t>
        </is>
      </c>
      <c r="R2" s="8" t="inlineStr">
        <is>
          <t>3D-Dinámico</t>
        </is>
      </c>
      <c r="S2" s="8" t="inlineStr">
        <is>
          <t>No</t>
        </is>
      </c>
      <c r="T2" s="10" t="inlineStr">
        <is>
          <t>Tiempo de ejecución y tiempo de finalización de tarea</t>
        </is>
      </c>
      <c r="U2" s="10" t="inlineStr">
        <is>
          <t>Mencionada como beneficio de heterogeneidad, pero no es métrica principal de optimización</t>
        </is>
      </c>
      <c r="V2" s="10" t="inlineStr">
        <is>
          <t>Visita completa y búsqueda de todas las regiones de interés</t>
        </is>
      </c>
      <c r="W2" s="10" t="inlineStr">
        <is>
          <t>La regla de actualización global de feromonas mejora la velocidad de convergencia</t>
        </is>
      </c>
      <c r="X2" s="10" t="inlineStr">
        <is>
          <t>Los resultados demuestran que APPA supera a otros métodos heurísticos como GA y SDF en precisión y eficiencia, logrando soluciones muy cercanas a las óptimas (MILP) con una complejidad computacional pseudo-polinomial que permite manejar sistemas de gran escala de forma más rápida,,,. No obstante, el modelo actual presenta vacíos técnicos al omitir la evitación de obstáculos, la gestión de fallos de equipo y el consumo de energía detallado,.</t>
        </is>
      </c>
      <c r="Y2" s="8" t="inlineStr">
        <is>
          <t>Solo Simulación</t>
        </is>
      </c>
      <c r="Z2" s="10" t="inlineStr">
        <is>
          <t>C++, Microsoft Visual Studio 2015, Intel Core i5-3320M 2.60 GHz</t>
        </is>
      </c>
      <c r="AA2" s="8" t="inlineStr">
        <is>
          <t>No</t>
        </is>
      </c>
      <c r="AB2" s="10" t="inlineStr">
        <is>
          <t>100 instancias para cada punto experimental</t>
        </is>
      </c>
      <c r="AC2" s="10" t="inlineStr">
        <is>
          <t>Mejor búsqueda global, eficiencia superior a MILP en gran escala y menores ratios de desviación</t>
        </is>
      </c>
      <c r="AD2" s="10" t="inlineStr">
        <is>
          <t>No considera evitación de obstáculos, fallos de comunicación ni consumo dinámico de energía</t>
        </is>
      </c>
      <c r="AE2" s="10" t="inlineStr">
        <is>
          <t>MILP, GA, SDF, STCA_NA, STCA_NE</t>
        </is>
      </c>
      <c r="AF2" s="10" t="inlineStr">
        <is>
          <t>Formulación MILP exacta y heurística APPA basada en ratios de tiempo efectivos</t>
        </is>
      </c>
      <c r="AG2" s="10" t="inlineStr">
        <is>
          <t>Incorporar modelos tecnológicos avanzados para mejorar precisión y aplicar a otros escenarios</t>
        </is>
      </c>
      <c r="AH2" s="8" t="inlineStr">
        <is>
          <t>Media</t>
        </is>
      </c>
      <c r="AI2" s="8" t="inlineStr">
        <is>
          <t>Multiple</t>
        </is>
      </c>
      <c r="AJ2" s="10" t="inlineStr">
        <is>
          <t>Información no presente en las fuentes</t>
        </is>
      </c>
      <c r="AK2" s="10" t="inlineStr">
        <is>
          <t>Ant colony system (Sistema de colonia de hormigas), Coverage path planning (Planificación de rutas de cobertura), Unmanned aerial vehicle (Vehículo aéreo no tripulado), Multiple regions (Múltiples regiones), Heterogeneous UAVs (UAVs heterogéneos).</t>
        </is>
      </c>
      <c r="AL2" s="10" t="inlineStr">
        <is>
          <t>El estudio aborda el problema de la planificación de rutas de cobertura (CPP) para múltiples UAVs heterogéneos en sistemas de búsqueda cooperativa de gran escala con regiones separadas. Dado que este es un problema NP-hard, se propone un algoritmo basado en el sistema de colonia de hormigas (ACS) para obtener rutas que cubran todas las regiones de manera eficiente. El método incluye una formulación de programación lineal para rutas punto a punto y una heurística para minimizar el tiempo de finalización de las tareas. Los experimentos demuestran que el algoritmo propuesto ofrece soluciones de alta calidad con tiempos de ejecución razonables.</t>
        </is>
      </c>
      <c r="AM2" s="10" t="inlineStr">
        <is>
          <t xml:space="preserve">
    ◦ Fig. 1: Proceso evolutivo de algoritmos de optimización bio-inspirados en problemas de planificación de rutas.
    ◦ Fig. 2: Tiempo de ejecución de los seis enfoques comparados en regiones generadas aleatoriamente.
    ◦ Fig. 4: Tiempos de finalización de tareas de los métodos evaluados.
    ◦ Fig. 6: Ratios de desviación de los cinco enfoques inexactos respecto al óptimo.</t>
        </is>
      </c>
      <c r="AN2" s="10" t="inlineStr">
        <is>
          <t>"En contraste con los vehículos aéreos tripulados, el UAV libera al humano de trabajos peligrosos, aburridos y pesados".</t>
        </is>
      </c>
      <c r="AO2" s="6" t="inlineStr">
        <is>
          <t>An ACS-based heuristic is presented to seek approximately optimal solutions'</t>
        </is>
      </c>
      <c r="AP2" s="10" t="inlineStr">
        <is>
          <t>"Se presenta una heurística basada en ACS para buscar soluciones aproximadamente óptimas y minimizar el consumo de tiempo de las tareas en el sistema de búsqueda cooperativa". El algoritmo se divide en una fase de asignación de regiones basada en "ratios de tiempo efectivos" y una fase de optimización del orden de visita.</t>
        </is>
      </c>
      <c r="AQ2" s="10" t="inlineStr">
        <is>
          <t>"Nuestro enfoque tiene un rendimiento significativamente mejor que los otros cuatro algoritmos (GA, SDF, STCA_NA y STCA_NE) en términos de tiempo de finalización de la tarea".</t>
        </is>
      </c>
      <c r="AR2" s="8" t="inlineStr">
        <is>
          <t>Analizado</t>
        </is>
      </c>
      <c r="AS2" s="7" t="n">
        <v>46031</v>
      </c>
      <c r="AT2" s="10" t="inlineStr">
        <is>
          <t>El estudio es relevante porque considera la heterogeneidad de los UAVs (diferentes velocidades y capacidades de escaneo), lo cual es más realista para aplicaciones agrícolas o de vigilancia que los modelos homogéneos. Es notable que el algoritmo logra un ratio de desviación de solo 1.2% cuando se manejan 50 regiones, lo que indica una alta precisión para un método heurístico.</t>
        </is>
      </c>
      <c r="AU2" s="10" t="inlineStr">
        <is>
          <t>Los autores declaran que no existe conflicto de intereses. Una limitación técnica mencionada es que el modelo actual no considera la evitación de obstáculos, colisiones, ni fallos de equipo durante la misión.</t>
        </is>
      </c>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row>
    <row r="3" ht="126" customHeight="1">
      <c r="A3" s="8" t="inlineStr">
        <is>
          <t>PAPER_002</t>
        </is>
      </c>
      <c r="B3" s="10" t="inlineStr">
        <is>
          <t>Improved Artificial Bee Colony Algorithm Based on Multi-Strategy Synthesis for UAV Path Planning</t>
        </is>
      </c>
      <c r="C3" s="10" t="inlineStr">
        <is>
          <t>Siqi Lin, Feifei Li, Xuyang Li, Kejin Jia, Xiaowei Zhang</t>
        </is>
      </c>
      <c r="D3" s="8" t="n">
        <v>2022</v>
      </c>
      <c r="E3" s="8" t="inlineStr">
        <is>
          <t>IEEE Access</t>
        </is>
      </c>
      <c r="F3" s="8" t="inlineStr">
        <is>
          <t>Journal</t>
        </is>
      </c>
      <c r="G3" s="10" t="inlineStr">
        <is>
          <t>No mencionado explícitamente</t>
        </is>
      </c>
      <c r="H3" s="8" t="inlineStr">
        <is>
          <t>10.1109/ACCESS.2022.3218685</t>
        </is>
      </c>
      <c r="I3" s="8" t="inlineStr">
        <is>
          <t>10.1109/ACCESS.2022.3218685</t>
        </is>
      </c>
      <c r="J3" s="8" t="inlineStr">
        <is>
          <t>ScienceDirect</t>
        </is>
      </c>
      <c r="K3" s="10" t="inlineStr">
        <is>
          <t>35 referencias bibliográficas incluidas</t>
        </is>
      </c>
      <c r="L3" s="8" t="inlineStr">
        <is>
          <t>ABC</t>
        </is>
      </c>
      <c r="M3" s="10" t="inlineStr">
        <is>
          <t>Optimización por Enjambre de Partículas (PSO), Algoritmo ABC de Búsqueda (SABC), Algoritmo ABC del Mejor Global (GABC)</t>
        </is>
      </c>
      <c r="N3" s="10" t="inlineStr">
        <is>
          <t>IABC (Improved Artificial Bee Colony) con mapeo caótico de Tent, principio de Pareto y evolución estocástica tangente</t>
        </is>
      </c>
      <c r="O3" s="8" t="inlineStr">
        <is>
          <t>Otro</t>
        </is>
      </c>
      <c r="P3" s="10" t="inlineStr">
        <is>
          <t>Generación de trayectorias óptimas y suaves en entornos urbanos 3D complejos con múltiples restricciones de vuelo</t>
        </is>
      </c>
      <c r="Q3" s="10" t="inlineStr">
        <is>
          <t>UAV individual (proyecta uso multi-UAV a futuro)</t>
        </is>
      </c>
      <c r="R3" s="8" t="inlineStr">
        <is>
          <t>3D-Estático</t>
        </is>
      </c>
      <c r="S3" s="10" t="inlineStr">
        <is>
          <t>Construcciones urbanas como cuerpos rectangulares y fuentes de amenaza divididas en zonas de peligro, moderación y seguridad</t>
        </is>
      </c>
      <c r="T3" s="10" t="inlineStr">
        <is>
          <t>Eficiencia operativa y reducción del tiempo de búsqueda para ruta óptima</t>
        </is>
      </c>
      <c r="U3" s="10" t="inlineStr">
        <is>
          <t>Considerada indirectamente mediante reducción de distancia de vuelo y consumo de combustible</t>
        </is>
      </c>
      <c r="V3" s="10" t="inlineStr">
        <is>
          <t>No aplica en sentido de barrido de área; se enfoca en evitación de colisiones y alcance de objetivo</t>
        </is>
      </c>
      <c r="W3" s="10" t="inlineStr">
        <is>
          <t>Velocidad de iteración (IABC requiere menos iteraciones que otros algoritmos)</t>
        </is>
      </c>
      <c r="X3" s="10" t="inlineStr">
        <is>
          <t>Algoritmo de baja complejidad y alta adaptabilidad en comparación con otros métodos biónicos</t>
        </is>
      </c>
      <c r="Y3" s="8" t="inlineStr">
        <is>
          <t>Solo Simulación</t>
        </is>
      </c>
      <c r="Z3" s="10" t="inlineStr">
        <is>
          <t>Espacio tridimensional 80m x 80m x 25m con tres escenarios de dificultad progresiva (Casos 1, 2, 3)</t>
        </is>
      </c>
      <c r="AA3" s="8" t="inlineStr">
        <is>
          <t>No</t>
        </is>
      </c>
      <c r="AB3" s="10" t="inlineStr">
        <is>
          <t>No utiliza dataset externo; usa modelos matemáticos de entorno y parámetros de población de abejas</t>
        </is>
      </c>
      <c r="AC3" s="10" t="inlineStr">
        <is>
          <t>Alta eficiencia, convergencia rápida, excelente capacidad para saltar de óptimos locales, generación de rutas suaves mediante spline cúbico</t>
        </is>
      </c>
      <c r="AD3" s="10" t="inlineStr">
        <is>
          <t>Método solo aplicable a entornos estáticos</t>
        </is>
      </c>
      <c r="AE3" s="10" t="inlineStr">
        <is>
          <t>IABC demostró superioridad en valor óptimo, valor medio y desviación estándar, más estable que PSO y ABC estándar</t>
        </is>
      </c>
      <c r="AF3" s="10" t="inlineStr">
        <is>
          <t>Diseño de estrategia de búsqueda guiada, inicialización de población con mapa de Tent y Pareto, mecanismo de evolución estocástica tangente para mejorar calidad de descendencia</t>
        </is>
      </c>
      <c r="AG3" s="10" t="inlineStr">
        <is>
          <t>Planificación de rutas para múltiples UAVs bajo amenazas dinámicas y ajuste adaptativo de trayectoria</t>
        </is>
      </c>
      <c r="AH3" s="8" t="inlineStr">
        <is>
          <t>Alta</t>
        </is>
      </c>
      <c r="AI3" s="8" t="inlineStr">
        <is>
          <t>Multiple</t>
        </is>
      </c>
      <c r="AJ3" s="10" t="inlineStr">
        <is>
          <t>@article{lin2022improved, title={Improved Artificial Bee Colony Algorithm...}, author={Lin, Siqi and others}, journal={IEEE Access}, year={2022}}</t>
        </is>
      </c>
      <c r="AK3" s="10" t="inlineStr">
        <is>
          <t>Artificial bee colony algorithm (ABC), path planning, unmanned aerial vehicle (UAV), cubic spline interpolation</t>
        </is>
      </c>
      <c r="AL3" s="10" t="inlineStr">
        <is>
          <t>Propone mejora del algoritmo ABC (IABC) mediante síntesis de múltiples estrategias para optimizar ruta de UAVs en ciudades 3D, logrando trayectorias suaves y eficientes que superan a algoritmos tradicionales en velocidad y precisión</t>
        </is>
      </c>
      <c r="AM3" s="10" t="inlineStr">
        <is>
          <t>15 figuras incluyendo modelos de entorno (Fig. 2), diagramas de flujo (Fig. 6), curvas de convergencia (Fig. 8, 11, 14)</t>
        </is>
      </c>
      <c r="AN3" s="10" t="inlineStr">
        <is>
          <t>Referencias sobre uso de UAVs (1-3) y algoritmos inteligentes como GA, ACO y PSO (4-10)</t>
        </is>
      </c>
      <c r="AO3" s="10" t="inlineStr">
        <is>
          <t>Referencias al ABC original (11) y técnicas de inicialización caótica (29-32) e interpolación (28)</t>
        </is>
      </c>
      <c r="AP3" s="10" t="inlineStr">
        <is>
          <t>Compara resultados con variantes de ABC propuestas por otros autores en referencias 34 y 35</t>
        </is>
      </c>
      <c r="AQ3" s="10" t="inlineStr">
        <is>
          <t>Resume beneficios de interpolación de spline cúbico y estrategias de Pareto sin añadir citas nuevas fuera del análisis previo</t>
        </is>
      </c>
      <c r="AR3" s="8" t="inlineStr">
        <is>
          <t>Analizado</t>
        </is>
      </c>
      <c r="AS3" s="7" t="n">
        <v>46031</v>
      </c>
      <c r="AT3" s="10" t="inlineStr">
        <is>
          <t>Uso del principio de Pareto (regla 80/20) para filtrar solo el 20% de la población como élite, optimizando drásticamente costo computacional de iteración</t>
        </is>
      </c>
      <c r="AU3" s="10" t="inlineStr">
        <is>
          <t>No se declaran conflictos de interés; estudio financiado por Programa de Investigación y Desarrollo de Provincia de Hebei</t>
        </is>
      </c>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row>
    <row r="4" ht="189" customHeight="1">
      <c r="A4" s="8" t="inlineStr">
        <is>
          <t>PAPER_003</t>
        </is>
      </c>
      <c r="B4" s="10" t="inlineStr">
        <is>
          <t>A Modified Sparrow Search Algorithm with Application in 3d Route Planning for UAV</t>
        </is>
      </c>
      <c r="C4" s="10" t="inlineStr">
        <is>
          <t>Guiyun Liu, Cong Shu, Zhongwei Liang, Baihao Peng, Lefeng Cheng</t>
        </is>
      </c>
      <c r="D4" s="8" t="n">
        <v>2021</v>
      </c>
      <c r="E4" s="8" t="inlineStr">
        <is>
          <t>Sensors (MDPI)</t>
        </is>
      </c>
      <c r="F4" s="8" t="inlineStr">
        <is>
          <t>Journal</t>
        </is>
      </c>
      <c r="G4" s="10" t="inlineStr">
        <is>
          <t>No especificado en fuentes (nota: según registros externos, Sensors tiene factor de impacto relevante)</t>
        </is>
      </c>
      <c r="H4" s="4" t="inlineStr">
        <is>
          <t>https://doi.org/10.3390/s21041224</t>
        </is>
      </c>
      <c r="I4" s="5" t="inlineStr">
        <is>
          <t>https://www.mdpi.com/1424-8220/21/4/1224</t>
        </is>
      </c>
      <c r="J4" s="8" t="inlineStr">
        <is>
          <t>Otro</t>
        </is>
      </c>
      <c r="K4" s="10" t="inlineStr">
        <is>
          <t>No menciona número total de citaciones (dato dinámico)</t>
        </is>
      </c>
      <c r="L4" s="8" t="inlineStr">
        <is>
          <t>Otro</t>
        </is>
      </c>
      <c r="M4" s="10" t="inlineStr">
        <is>
          <t>Estrategias de mejora integradas: Estrategia caótica (Cubic map), Peso de inercia adaptativo, Mutación de Cauchy-Gaussian</t>
        </is>
      </c>
      <c r="N4" s="10" t="inlineStr">
        <is>
          <t>CASSA (Chaotic Adaptive Sparrow Search Algorithm)</t>
        </is>
      </c>
      <c r="O4" s="8" t="inlineStr">
        <is>
          <t>Otro</t>
        </is>
      </c>
      <c r="P4" s="10" t="inlineStr">
        <is>
          <t>Búsqueda de ruta óptima en entorno de vuelo tridimensional (3D) complejo con múltiples restricciones y obstáculos</t>
        </is>
      </c>
      <c r="Q4" s="10" t="inlineStr">
        <is>
          <t>Simulaciones centradas en planificación de ruta para un solo UAV</t>
        </is>
      </c>
      <c r="R4" s="8" t="inlineStr">
        <is>
          <t>3D-Dinámico</t>
        </is>
      </c>
      <c r="S4" s="10" t="inlineStr">
        <is>
          <t>Columnas negras (amenazas) y elevaciones propias del terreno</t>
        </is>
      </c>
      <c r="T4" s="10" t="inlineStr">
        <is>
          <t>Tiempo de ejecución (running time) en segundos</t>
        </is>
      </c>
      <c r="U4" s="10" t="inlineStr">
        <is>
          <t>No medida directamente en Joules, evaluada mediante longitud de ruta y estabilidad de altura para minimizar consumo de combustible</t>
        </is>
      </c>
      <c r="V4" s="10" t="inlineStr">
        <is>
          <t>No es enfoque principal, objetivo es navegación punto a punto</t>
        </is>
      </c>
      <c r="W4" s="10" t="inlineStr">
        <is>
          <t>Velocidad de convergencia, precisión de solución y capacidad de evitar estancamiento en óptimos locales</t>
        </is>
      </c>
      <c r="X4" s="10" t="inlineStr">
        <is>
          <t>Problema de optimización de alta dimensión y multirestricción</t>
        </is>
      </c>
      <c r="Y4" s="8" t="inlineStr">
        <is>
          <t>Solo Simulación</t>
        </is>
      </c>
      <c r="Z4" s="10" t="inlineStr">
        <is>
          <t>Matlab-2016b en PC con Intel Core i5-9400 @2.40 GHz y 16 GB RAM</t>
        </is>
      </c>
      <c r="AA4" s="8" t="inlineStr">
        <is>
          <t>No</t>
        </is>
      </c>
      <c r="AB4" s="10" t="inlineStr">
        <is>
          <t>12 funciones matemáticas para pruebas de algoritmo y área de misión de 150 km x 100 km x 8 km para ruta</t>
        </is>
      </c>
      <c r="AC4" s="10" t="inlineStr">
        <is>
          <t>Mejor diversidad de población, mayor precisión de convergencia, más efectivo para escapar de óptimos locales que SSA original</t>
        </is>
      </c>
      <c r="AD4" s="10" t="inlineStr">
        <is>
          <t>Tiempo de ejecución de CASSA es ligeramente superior al SSA original debido a operaciones de mutación adicionales</t>
        </is>
      </c>
      <c r="AE4" s="10" t="inlineStr">
        <is>
          <t>SSA original, PSO (Particle Swarm Optimization), ABC (Artificial Bee Colony), WOA (Whale Optimization Algorithm)</t>
        </is>
      </c>
      <c r="AF4" s="10" t="inlineStr">
        <is>
          <t>Variante mejorada del algoritmo de búsqueda de gorriones que utiliza curvas B-Spline para suavizar rutas generadas, haciéndolas más viables para vuelo real</t>
        </is>
      </c>
      <c r="AG4" s="10" t="inlineStr">
        <is>
          <t>Introducir restricciones de velocidad de vuelo, amenazas dinámicas, diferentes tipos de obstáculos y aplicar CASSA a formación de múltiples UAVs</t>
        </is>
      </c>
      <c r="AH4" s="8" t="inlineStr">
        <is>
          <t>Alta</t>
        </is>
      </c>
      <c r="AI4" s="8" t="inlineStr">
        <is>
          <t>Multiple</t>
        </is>
      </c>
      <c r="AJ4" s="10" t="inlineStr">
        <is>
          <t>@Article{liu2021cassa, AUTHOR = {Liu, Guiyun and Shu, Cong and Liang, Zhongwei and Peng, Baihao and Cheng, Lefeng}, TITLE = {A Modified Sparrow Search Algorithm with Application in 3d Route Planning for UAV}, JOURNAL = {Sensors}, VOLUME = {21}, YEAR = {2021}, NUMBER = {4}, ARTICLE-NUMBER = {1224}, URL = {https://www.mdpi.com/1424-8220/21/4/1224}, DOI = {10.3390/s21041224}}</t>
        </is>
      </c>
      <c r="AK4" s="10" t="inlineStr">
        <is>
          <t>Unmanned aerial vehicle; optimization algorithm; modified sparrow search algorithm; route planning</t>
        </is>
      </c>
      <c r="AL4" s="10" t="inlineStr">
        <is>
          <t>Propone algoritmo CASSA para resolver planificación de rutas 3D, transformando problema en optimización multidimensional que utiliza estrategias caóticas, pesos adaptativos y mutación de Cauchy-Gaussian para superar ineficiencias de algoritmos previos</t>
        </is>
      </c>
      <c r="AM4" s="10" t="inlineStr">
        <is>
          <t>Diagramas de flujo del algoritmo (Fig. 3 y 7), trayectorias de partículas (Fig. 4), curvas de convergencia (Fig. 5 y 11), visualizaciones de rutas 3D (Fig. 8 y 9)</t>
        </is>
      </c>
      <c r="AN4" s="10" t="inlineStr">
        <is>
          <t>The three-dimensional (3d) route planning for unmanned aerial vehicle (UAV) can be considered as a multi-constraint global optimization problem</t>
        </is>
      </c>
      <c r="AO4" s="10" t="inlineStr">
        <is>
          <t>The chaotic strategy is used to enhance the randomness of the positions... an adaptive inertia weight is applied to balance the convergence rate... the Cauchy–Gaussian mutation strategy is adopted to improve the capability to get rid of stagnation</t>
        </is>
      </c>
      <c r="AP4" s="10" t="inlineStr">
        <is>
          <t>The results of simulation demonstrate that the routes generated by CASSA are preferable to the sparrow search algorithm (SSA), particle swarm optimization (PSO), artificial bee colony (ABC), and whale optimization algorithm (WOA) under the identical environment</t>
        </is>
      </c>
      <c r="AQ4" s="10" t="inlineStr">
        <is>
          <t>The experimental results demonstrate that CASSA is an efficient and viable method in the field of UAV route planning</t>
        </is>
      </c>
      <c r="AR4" s="8" t="inlineStr">
        <is>
          <t>Analizado</t>
        </is>
      </c>
      <c r="AS4" s="7" t="n">
        <v>46031</v>
      </c>
      <c r="AT4" s="10" t="inlineStr">
        <is>
          <t>Uso de curvas B-Spline es fundamental en este trabajo para convertir puntos discretos de optimización en trayectorias de vuelo suaves y realistas</t>
        </is>
      </c>
      <c r="AU4" s="10" t="inlineStr">
        <is>
          <t>Autores declaran que no existen conflictos de interés</t>
        </is>
      </c>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row>
    <row r="5" ht="141.75" customHeight="1">
      <c r="A5" s="8" t="inlineStr">
        <is>
          <t>PAPER_004</t>
        </is>
      </c>
      <c r="B5" s="10" t="inlineStr">
        <is>
          <t>Multi-UAV Optimal Mission Assignment and Path Planning for Disaster Rescue Using Adaptive Genetic Algorithm and Improved Artificial Bee Colony Method</t>
        </is>
      </c>
      <c r="C5" s="10" t="inlineStr">
        <is>
          <t>Haoting Liu, Jianyue Ge, Yuan Wang, Jiacheng Li, Kai Ding, Zhiqiang Zhang, Zhenhui Guo, Wei Li, Jinhui Lan</t>
        </is>
      </c>
      <c r="D5" s="8" t="n">
        <v>2021</v>
      </c>
      <c r="E5" s="8" t="inlineStr">
        <is>
          <t>Actuators (MDPI)</t>
        </is>
      </c>
      <c r="F5" s="8" t="inlineStr">
        <is>
          <t>Journal</t>
        </is>
      </c>
      <c r="G5" s="10" t="inlineStr">
        <is>
          <t>No mencionado explícitamente</t>
        </is>
      </c>
      <c r="H5" s="4" t="inlineStr">
        <is>
          <t>https://doi.org/10.3390/act11010004</t>
        </is>
      </c>
      <c r="I5" s="5" t="inlineStr">
        <is>
          <t>https://www.mdpi.com/2076-0825/11/1/4</t>
        </is>
      </c>
      <c r="J5" s="8" t="inlineStr">
        <is>
          <t>Otro</t>
        </is>
      </c>
      <c r="K5" s="10" t="inlineStr">
        <is>
          <t>No especificado número total de citas</t>
        </is>
      </c>
      <c r="L5" s="8" t="inlineStr">
        <is>
          <t>GA</t>
        </is>
      </c>
      <c r="M5" s="10" t="inlineStr">
        <is>
          <t>Colonia de Abejas Artificiales Mejorada (IABC) para planificación de rutas entre puntos de misión</t>
        </is>
      </c>
      <c r="N5" s="10" t="inlineStr">
        <is>
          <t>AGA con nueva función de aptitud basada en número de iteraciones e IABC con estrategia de búsqueda equilibrada para mejorar convergencia</t>
        </is>
      </c>
      <c r="O5" s="8" t="inlineStr">
        <is>
          <t>Búsqueda-Rescate</t>
        </is>
      </c>
      <c r="P5" s="10" t="inlineStr">
        <is>
          <t>Coordinación de drones para entrega de medicamentos, recolección de imágenes y relevo de comunicaciones en zonas afectadas</t>
        </is>
      </c>
      <c r="Q5" s="10" t="inlineStr">
        <is>
          <t>20 UAVs en simulaciones específicas (15 de entrega, 3 de imágenes, 2 de relevo) divididos en dos grupos</t>
        </is>
      </c>
      <c r="R5" s="8" t="inlineStr">
        <is>
          <t>3D-Dinámico</t>
        </is>
      </c>
      <c r="S5" s="10" t="inlineStr">
        <is>
          <t>Tres fuentes de amenaza: clima severo (viento y lluvia), torres de transmisión (interferencia electromagnética) y tierras altas (obstáculos físicos)</t>
        </is>
      </c>
      <c r="T5" s="10" t="inlineStr">
        <is>
          <t>Tiempo de procesamiento (Processing Time) en segundos</t>
        </is>
      </c>
      <c r="U5" s="10" t="inlineStr">
        <is>
          <t>Consumo de combustible/aceite (Oil consumption)</t>
        </is>
      </c>
      <c r="V5" s="10" t="inlineStr">
        <is>
          <t>No se define como métrica porcentual, se mide a través de función de ingresos por misiones cumplidas en puntos específicos</t>
        </is>
      </c>
      <c r="W5" s="10" t="inlineStr">
        <is>
          <t>Evaluada mediante comparación de valores de función de aptitud (fitness) a lo largo de iteraciones</t>
        </is>
      </c>
      <c r="X5" s="10" t="inlineStr">
        <is>
          <t>No se indica notación Big O específica; mejoras algorítmicas añaden carga computacional a cambio de mayor precisión y convergencia</t>
        </is>
      </c>
      <c r="Y5" s="8" t="inlineStr">
        <is>
          <t>Simulación+Experimentos</t>
        </is>
      </c>
      <c r="Z5" s="10" t="inlineStr">
        <is>
          <t>Programado en Python (Pycharm 2020) en PC con procesador Intel Core i3 y 4 GB de RAM</t>
        </is>
      </c>
      <c r="AA5" s="8" t="inlineStr">
        <is>
          <t>No</t>
        </is>
      </c>
      <c r="AB5" s="10" t="inlineStr">
        <is>
          <t>Coordenadas de puntos de misión (8 y 18 puntos) y datos de observación atmosférica de estaciones meteorológicas</t>
        </is>
      </c>
      <c r="AC5" s="10" t="inlineStr">
        <is>
          <t>Consideración de aplicaciones de ingeniería práctica, alta precisión computacional, buena extensibilidad del modelo para otros escenarios</t>
        </is>
      </c>
      <c r="AD5" s="10" t="inlineStr">
        <is>
          <t>Modelos de amenazas simplificados (ej. clima como círculo) e interactividad humano-computadora limitada</t>
        </is>
      </c>
      <c r="AE5" s="10" t="inlineStr">
        <is>
          <t>Algoritmo Genético (GA) tradicional, Colonia de Abejas Artificiales (ABC) básica, Optimización por Enjambre de Partículas (PSO), Algoritmo de Campo de Potencial Artificial (APFA)</t>
        </is>
      </c>
      <c r="AF5" s="10" t="inlineStr">
        <is>
          <t>Modelo integral de asignación de misiones y planificación de rutas que integra nueva función de costo-beneficio con método AHP y mejoras en capacidad de búsqueda global de algoritmos AGA e IABC</t>
        </is>
      </c>
      <c r="AG5" s="10" t="inlineStr">
        <is>
          <t>Incorporar modelos de temperatura atmosférica, modelos de terreno 3D más detallados y factores como radio mínimo de giro de UAVs</t>
        </is>
      </c>
      <c r="AH5" s="8" t="inlineStr">
        <is>
          <t>Alta</t>
        </is>
      </c>
      <c r="AI5" s="8" t="inlineStr">
        <is>
          <t>Multiple</t>
        </is>
      </c>
      <c r="AJ5" s="10" t="inlineStr">
        <is>
          <t>No proporcionado directamente; metadatos disponibles: Liu et al., 2022, Actuators, Vol. 11, No. 4</t>
        </is>
      </c>
      <c r="AK5" s="10" t="inlineStr">
        <is>
          <t>Multiple UAVs, mission assignment, path planning, genetic algorithm, artificial bee colony, disaster rescue</t>
        </is>
      </c>
      <c r="AL5" s="10" t="inlineStr">
        <is>
          <t>Propone método óptimo de asignación de misiones y planificación de rutas para drones en rescates tras desastres, utilizando algoritmo genético adaptativo y colonia de abejas artificiales mejorada, considerando amenazas ambientales y optimizando funciones de costo-beneficio mediante proceso de jerarquía analítica (AHP)</t>
        </is>
      </c>
      <c r="AM5" s="10" t="inlineStr">
        <is>
          <t>Mapa conceptual del rescate (Fig. 1), diagrama de flujo computacional (Fig. 2), estructura jerárquica de AHP (Fig. 6), visualizaciones 3D de simulación (Fig. 14)</t>
        </is>
      </c>
      <c r="AN5" s="10" t="inlineStr">
        <is>
          <t>Uso de múltiples UAVs reduce costos y aumenta seguridad en comparación con sistemas de un solo dron</t>
        </is>
      </c>
      <c r="AO5" s="10" t="inlineStr">
        <is>
          <t>Método AHP utilizado para estimar objetivamente pesos de función de costo-beneficio</t>
        </is>
      </c>
      <c r="AP5" s="10" t="inlineStr">
        <is>
          <t>Algoritmo AGA logra mejor rendimiento que GA tradicional a medida que aumenta número de puntos de misión</t>
        </is>
      </c>
      <c r="AQ5" s="10" t="inlineStr">
        <is>
          <t>Modelo propuesto es efectivo para apoyo en decisiones de rescate médico en desastres futuros</t>
        </is>
      </c>
      <c r="AR5" s="8" t="inlineStr">
        <is>
          <t>Analizado</t>
        </is>
      </c>
      <c r="AS5" s="7" t="n">
        <v>46032</v>
      </c>
      <c r="AT5" s="10" t="inlineStr">
        <is>
          <t>Enfoque en tres tipos específicos de drones (entrega, imagen y relevo) es muy práctico para escenarios reales de emergencia</t>
        </is>
      </c>
      <c r="AU5" s="10" t="inlineStr">
        <is>
          <t>Tiempo de procesamiento de algoritmos mejorados es mayor, lo cual podría ser factor crítico en rescates en tiempo real si flota crece significativamente</t>
        </is>
      </c>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row>
    <row r="6" ht="110.25" customHeight="1">
      <c r="A6" s="8" t="inlineStr">
        <is>
          <t>PAPER_005</t>
        </is>
      </c>
      <c r="B6" s="10" t="inlineStr">
        <is>
          <t>Multi-UAV Path Planning Based on Fusion of Sparrow Search Algorithm and Improved Bioinspired Neural Network</t>
        </is>
      </c>
      <c r="C6" s="10" t="inlineStr">
        <is>
          <t>Qingli Liu, Yang Zhang, Mengqian Li, Zhenya Zhang, Na Cao, Jiale Shang</t>
        </is>
      </c>
      <c r="D6" s="8" t="n">
        <v>2021</v>
      </c>
      <c r="E6" s="8" t="inlineStr">
        <is>
          <t>IEEE Access</t>
        </is>
      </c>
      <c r="F6" s="8" t="inlineStr">
        <is>
          <t>Journal</t>
        </is>
      </c>
      <c r="G6" s="10" t="inlineStr">
        <is>
          <t>No mencionado explícitamente</t>
        </is>
      </c>
      <c r="H6" s="8" t="inlineStr">
        <is>
          <t>10.1109/ACCESS.2021.3109879</t>
        </is>
      </c>
      <c r="I6" s="8" t="inlineStr">
        <is>
          <t>10.1109/ACCESS.2021.3109879</t>
        </is>
      </c>
      <c r="J6" s="8" t="inlineStr">
        <is>
          <t>IEEE Xplore</t>
        </is>
      </c>
      <c r="K6" s="10" t="inlineStr">
        <is>
          <t>No indica número de citaciones recibidas</t>
        </is>
      </c>
      <c r="L6" s="8" t="inlineStr">
        <is>
          <t>Otro</t>
        </is>
      </c>
      <c r="M6" s="10" t="inlineStr">
        <is>
          <t>Curvas B-spline para ajuste y suavizado de nodos de trayectoria</t>
        </is>
      </c>
      <c r="N6" s="10" t="inlineStr">
        <is>
          <t>BINN mejorada mediante adición de capa de buffer en neuronas y estructura ajustada para detectar entornos de dos pasos, optimizando evitación de obstáculos</t>
        </is>
      </c>
      <c r="O6" s="8" t="inlineStr">
        <is>
          <t>Otro</t>
        </is>
      </c>
      <c r="P6" s="10" t="inlineStr">
        <is>
          <t>Vuelo en entornos montañosos de larga distancia con presencia de obstáculos dinámicos y zonas de amenaza (como radares enemigos)</t>
        </is>
      </c>
      <c r="Q6" s="10" t="inlineStr">
        <is>
          <t>5 UAVs en experimentos de simulación</t>
        </is>
      </c>
      <c r="R6" s="8" t="inlineStr">
        <is>
          <t>3D-Dinámico</t>
        </is>
      </c>
      <c r="S6" s="10" t="inlineStr">
        <is>
          <t>Montañas (terreno), zonas de amenaza cilíndricas (radares) y obstáculos aéreos dinámicos en movimiento</t>
        </is>
      </c>
      <c r="T6" s="10" t="inlineStr">
        <is>
          <t>Busca baja complejidad computacional para planificación en tiempo real, no se detallan tiempos específicos de ejecución</t>
        </is>
      </c>
      <c r="U6" s="10" t="inlineStr">
        <is>
          <t>No medida directamente en julios o vatios, optimizada a través de longitud de ruta y suavidad de giros</t>
        </is>
      </c>
      <c r="V6" s="10" t="inlineStr">
        <is>
          <t>No aplicable a estudio de planificación de punto a punto</t>
        </is>
      </c>
      <c r="W6" s="10" t="inlineStr">
        <is>
          <t>SSA demuestra excelente estabilidad y convergencia en funciones de prueba, evitando caer en óptimos locales gracias a actualizaciones de posición discontinuas</t>
        </is>
      </c>
      <c r="X6" s="10" t="inlineStr">
        <is>
          <t>Descrita como baja; algoritmo de fusión reduce requerimientos de potencia de cálculo de computadoras a bordo</t>
        </is>
      </c>
      <c r="Y6" s="8" t="inlineStr">
        <is>
          <t>Solo Simulación</t>
        </is>
      </c>
      <c r="Z6" s="10" t="inlineStr">
        <is>
          <t>Plataforma Matlab en computadora con CPU i7-7700HQ y 16G de memoria</t>
        </is>
      </c>
      <c r="AA6" s="8" t="inlineStr">
        <is>
          <t>No</t>
        </is>
      </c>
      <c r="AB6" s="10" t="inlineStr">
        <is>
          <t>6 instancias de mapas de entorno (Env1-Env6) con diferentes configuraciones de obstáculos y amenazas</t>
        </is>
      </c>
      <c r="AC6" s="10" t="inlineStr">
        <is>
          <t>Rutas colisión-free en entornos dinámicos, trayectorias suaves y cortas, alta estabilidad, menor requerimiento computacional que métodos de planificación local pura</t>
        </is>
      </c>
      <c r="AD6" s="10" t="inlineStr">
        <is>
          <t>No involucra control de formación de UAVs, simplificando aspecto mediante tiempos de despegue secuenciales</t>
        </is>
      </c>
      <c r="AE6" s="10" t="inlineStr">
        <is>
          <t>Algoritmo de Colonia de Abejas Artificiales (ABC), Algoritmo de Libélula (DA), versión básica de BINN</t>
        </is>
      </c>
      <c r="AF6" s="10" t="inlineStr">
        <is>
          <t>Integración de SSA para planificación global con BINN mejorada para replanificación local, incluyendo capa de buffer en neuronas para mejorar éxito en evitación de obstáculos dinámicos</t>
        </is>
      </c>
      <c r="AG6" s="10" t="inlineStr">
        <is>
          <t>Aplicación en misiones de reconocimiento o navegación y mayor integración en aplicaciones prácticas de larga distancia</t>
        </is>
      </c>
      <c r="AH6" s="8" t="inlineStr">
        <is>
          <t>Alta</t>
        </is>
      </c>
      <c r="AI6" s="8" t="inlineStr">
        <is>
          <t>Multiple</t>
        </is>
      </c>
      <c r="AJ6" s="10" t="inlineStr">
        <is>
          <t>No incluida en texto, derivable de metadatos: @article{liu2021multi, title={Multi-UAV Path Planning Based on Fusion of Sparrow Search Algorithm and Improved Bioinspired Neural Network}, author={Liu, Qingli and others}, journal={IEEE Access}, year={2021}, publisher={IEEE}}</t>
        </is>
      </c>
      <c r="AK6" s="10" t="inlineStr">
        <is>
          <t>Path planning, multi-UAV, sparrow search algorithm, bioinspired neural network, safe surface</t>
        </is>
      </c>
      <c r="AL6" s="10" t="inlineStr">
        <is>
          <t>Propone método de fusión SSA-BINN para resolver inestabilidad e incapacidad de evitar obstáculos dinámicos en montañas. SSA encuentra nodos de bajo costo en superficie segura, curvas B-spline suavizan ruta y BINN realiza replanificación local ante obstáculos dinámicos</t>
        </is>
      </c>
      <c r="AM6" s="10" t="inlineStr">
        <is>
          <t>Fig. 1 (Modelado global/superficie segura), Fig. 2 (Modelado local de neuronas), Fig. 5 (Diagrama de flujo), Fig. 8-13 (Resultados de rutas y comparativas)</t>
        </is>
      </c>
      <c r="AN6" s="10" t="inlineStr">
        <is>
          <t>UAVs son vitales en misiones modernas y planificación de rutas es base de su éxito</t>
        </is>
      </c>
      <c r="AO6" s="10" t="inlineStr">
        <is>
          <t>SSA usado para nodos globales y B-spline para suavizado; ante obstáculos dinámicos, se activa BINN para replanificación local</t>
        </is>
      </c>
      <c r="AP6" s="10" t="inlineStr">
        <is>
          <t>Algoritmo de fusión superó a ABC y DA en estabilidad y longitud de ruta en seis entornos probados</t>
        </is>
      </c>
      <c r="AQ6" s="10" t="inlineStr">
        <is>
          <t>Combinación de planificación global y local reduce carga computacional y es ideal para aplicaciones prácticas de multi-UAV</t>
        </is>
      </c>
      <c r="AR6" s="8" t="inlineStr">
        <is>
          <t>Analizado</t>
        </is>
      </c>
      <c r="AS6" s="7" t="n">
        <v>46032</v>
      </c>
      <c r="AT6" s="10" t="inlineStr">
        <is>
          <t>Uso de "superficie segura" elevada sobre terreno es estrategia clave para simplificar modelado 3D complejo</t>
        </is>
      </c>
      <c r="AU6" s="10" t="inlineStr">
        <is>
          <t>No se aborda control de formación, lo cual podría ser área crítica para implementación real de multi-UAVs en proximidad estrecha</t>
        </is>
      </c>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row>
    <row r="7" ht="252" customHeight="1">
      <c r="A7" s="8" t="inlineStr">
        <is>
          <t>PAPER_006</t>
        </is>
      </c>
      <c r="B7" s="10" t="inlineStr">
        <is>
          <t>Implementation of Swarm Intelligence Algorithms for Path Planning</t>
        </is>
      </c>
      <c r="C7" s="10" t="inlineStr">
        <is>
          <t>Alex T Mathew, Ajay Paul, Akshay Rojan, Amith Thomas</t>
        </is>
      </c>
      <c r="D7" s="8" t="n">
        <v>2021</v>
      </c>
      <c r="E7" s="8" t="inlineStr">
        <is>
          <t>Journal of Physics: Conference Series, Volumen 1831</t>
        </is>
      </c>
      <c r="F7" s="8" t="inlineStr">
        <is>
          <t>Conference</t>
        </is>
      </c>
      <c r="G7" s="10" t="inlineStr">
        <is>
          <t>No mencionado en fuentes</t>
        </is>
      </c>
      <c r="H7" s="8" t="inlineStr">
        <is>
          <t>10.1088/1742-6596/1831/1/012008</t>
        </is>
      </c>
      <c r="I7" s="8" t="inlineStr">
        <is>
          <t>10.1088/1742-6596/1831/1/012008</t>
        </is>
      </c>
      <c r="J7" s="8" t="inlineStr">
        <is>
          <t>Otro</t>
        </is>
      </c>
      <c r="K7" s="10" t="inlineStr">
        <is>
          <t>No especifica número de citas</t>
        </is>
      </c>
      <c r="L7" s="8" t="inlineStr">
        <is>
          <t>PSO</t>
        </is>
      </c>
      <c r="M7" s="10" t="inlineStr">
        <is>
          <t>Algoritmo Híbrido (ACO + PSO)</t>
        </is>
      </c>
      <c r="N7" s="10" t="inlineStr">
        <is>
          <t>Enfoque híbrido donde ACO encuentra solución preliminar (nodos que atraviesan mapa evitando obstáculos) y PSO optimiza dicha solución tomándola como "global best" inicial</t>
        </is>
      </c>
      <c r="O7" s="8" t="inlineStr">
        <is>
          <t>Otro</t>
        </is>
      </c>
      <c r="P7" s="10" t="inlineStr">
        <is>
          <t>Navegación de sistemas multi-robot en terrenos desconocidos o con obstáculos</t>
        </is>
      </c>
      <c r="Q7" s="10" t="inlineStr">
        <is>
          <t>Menciona contexto multi-robot, simulaciones muestran trayectoria de único robot</t>
        </is>
      </c>
      <c r="R7" s="8" t="inlineStr">
        <is>
          <t>2D-Estático</t>
        </is>
      </c>
      <c r="S7" s="10" t="inlineStr">
        <is>
          <t>Muros y bloques negros que robot debe evitar para llegar a destino</t>
        </is>
      </c>
      <c r="T7" s="10" t="inlineStr">
        <is>
          <t>Tiempo de completado en segundos; algoritmo híbrido mostró tiempos variables, en ocasiones más lento pero más preciso</t>
        </is>
      </c>
      <c r="U7" s="10" t="inlineStr">
        <is>
          <t>No mencionada en fuentes</t>
        </is>
      </c>
      <c r="V7" s="10" t="inlineStr">
        <is>
          <t>No mencionada como métrica de optimización; estudio centrado en longitud del camino</t>
        </is>
      </c>
      <c r="W7" s="10" t="inlineStr">
        <is>
          <t>No se detalla matemáticamente, se discute capacidad de generar soluciones válidas en mapas complejos</t>
        </is>
      </c>
      <c r="X7" s="10" t="inlineStr">
        <is>
          <t>No especifica valor Big O, menciona muestreo de ruta para reducir requerimientos de memoria en algoritmo híbrido</t>
        </is>
      </c>
      <c r="Y7" s="8" t="inlineStr">
        <is>
          <t>Solo Simulación</t>
        </is>
      </c>
      <c r="Z7" s="10" t="inlineStr">
        <is>
          <t>Matlab Mobile Robotics Simulation Toolbox</t>
        </is>
      </c>
      <c r="AA7" s="8" t="inlineStr">
        <is>
          <t>No</t>
        </is>
      </c>
      <c r="AB7" s="10" t="inlineStr">
        <is>
          <t>No aplica; configuraciones de mapas de simulación (ej. puntos inicio y destinos variables)</t>
        </is>
      </c>
      <c r="AC7" s="10" t="inlineStr">
        <is>
          <t>Algoritmo híbrido dio mejores soluciones (rutas más cortas) en todas configuraciones probadas; ACO capaz de encontrar soluciones en mapas complejos donde PSO falla; PSO ofrece rutas más suaves y cortas en mapas menos complejos</t>
        </is>
      </c>
      <c r="AD7" s="10" t="inlineStr">
        <is>
          <t>PSO puede fallar en generar rutas válidas en mapas muy complejos por naturaleza de soluciones iniciales aleatorias; ACO suele generar rutas más largas comparado con PSO</t>
        </is>
      </c>
      <c r="AE7" s="10" t="inlineStr">
        <is>
          <t>Compara desempeño de PSO vs. ACO vs. Algoritmo Híbrido; menciona existencia de otros métodos como A*, D*, Campos de Potencial Artificial y RRT</t>
        </is>
      </c>
      <c r="AF7" s="10" t="inlineStr">
        <is>
          <t>Desarrollo e implementación de metodología híbrida que combina robustez de búsqueda de ACO con capacidad de optimización de PSO para mejorar planificación de rutas</t>
        </is>
      </c>
      <c r="AG7" s="10" t="inlineStr">
        <is>
          <t>Reducir número de muestras tomadas para optimización secundaria, simular en ambientes más diversos para ajustar parámetros como coeficientes de aprendizaje y tamaño de población</t>
        </is>
      </c>
      <c r="AH7" s="8" t="inlineStr">
        <is>
          <t>Baja</t>
        </is>
      </c>
      <c r="AI7" s="8" t="inlineStr">
        <is>
          <t>Multiple</t>
        </is>
      </c>
      <c r="AJ7" s="10" t="inlineStr">
        <is>
          <t>No presente en fuentes; puede construirse: @article{mathew2021implementation, title={Implementation of Swarm Intelligence Algorithms for Path Planning}, author={Mathew, Alex T and Paul, Ajay and Rojan, Akshay and Thomas, Amith}, journal={Journal of Physics: Conference Series}, volume={1831}, number={1}, pages={012008}, year={2021}, publisher={IOP Publishing}}</t>
        </is>
      </c>
      <c r="AK7" s="10" t="inlineStr">
        <is>
          <t>Swarm intelligence, Path planning, Particle Swarm Optimization (PSO), Ant Colony Optimization (ACO), Hybrid algorithm</t>
        </is>
      </c>
      <c r="AL7" s="10" t="inlineStr">
        <is>
          <t>El artículo investiga la navegación en terrenos desconocidos para sistemas multi-robot utilizando algoritmos de inteligencia de enjambre. Los autores implementan ACO y PSO para resolver el problema de planificación de rutas y proponen un nuevo método híbrido donde ACO genera una solución preliminar que PSO luego optimiza, mejorando significativamente el rendimiento y la brevedad de la ruta en comparación con los métodos individuales.</t>
        </is>
      </c>
      <c r="AM7" s="10" t="inlineStr">
        <is>
          <t xml:space="preserve">
    ◦ Figuras 1 a 10: Visualizaciones de las trayectorias del robot en un entorno con obstáculos, comparando el desempeño de PSO, ACO y el Algoritmo Híbrido desde un punto de inicio hacia diversos destinos.
    ◦ Tabla 1: Comparativa cuantitativa que incluye la longitud de la mejor ruta y el tiempo de completado en segundos para cada configuración.</t>
        </is>
      </c>
      <c r="AN7" s="10" t="inlineStr">
        <is>
          <t>Path planning is an important metric in evaluating the performance of multi-robot systems</t>
        </is>
      </c>
      <c r="AO7" s="10" t="inlineStr">
        <is>
          <t>This study takes a single parameter, the shortness of the path, as the quantity to be optimized</t>
        </is>
      </c>
      <c r="AP7" s="10" t="inlineStr">
        <is>
          <t>The hybrid algorithm, as shown by the comparison study, gave better solutions in every setting</t>
        </is>
      </c>
      <c r="AQ7" s="10" t="inlineStr">
        <is>
          <t>Further research needs to be conducted on the usage of swarm intelligence algorithms for pathfinding</t>
        </is>
      </c>
      <c r="AR7" s="8" t="inlineStr">
        <is>
          <t>Analizado</t>
        </is>
      </c>
      <c r="AS7" s="7" t="n">
        <v>46032</v>
      </c>
      <c r="AT7" s="10" t="inlineStr">
        <is>
          <t>Algoritmo híbrido parece resolver debilidad de PSO en entornos complejos al darle "guía" inicial mediante ACO</t>
        </is>
      </c>
      <c r="AU7" s="10" t="inlineStr">
        <is>
          <t>Fuentes no especifican detalles sobre consumo de energía ni complejidad computacional exacta en términos de tiempo de ejecución teórico</t>
        </is>
      </c>
      <c r="AV7" s="10" t="n"/>
      <c r="AW7" s="10" t="n"/>
      <c r="AX7" s="10" t="n"/>
      <c r="AY7" s="10" t="n"/>
      <c r="AZ7" s="10" t="n"/>
      <c r="BA7" s="10" t="n"/>
      <c r="BB7" s="10" t="n"/>
      <c r="BC7" s="10" t="n"/>
      <c r="BD7" s="10" t="n"/>
      <c r="BE7" s="10" t="n"/>
      <c r="BF7" s="10" t="n"/>
      <c r="BG7" s="10" t="n"/>
      <c r="BH7" s="10" t="n"/>
      <c r="BI7" s="10" t="n"/>
      <c r="BJ7" s="10" t="n"/>
      <c r="BK7" s="10" t="n"/>
      <c r="BL7" s="10" t="n"/>
      <c r="BM7" s="10" t="n"/>
      <c r="BN7" s="10" t="n"/>
      <c r="BO7" s="10" t="n"/>
      <c r="BP7" s="10" t="n"/>
      <c r="BQ7" s="10" t="n"/>
      <c r="BR7" s="10" t="n"/>
      <c r="BS7" s="10" t="n"/>
      <c r="BT7" s="10" t="n"/>
      <c r="BU7" s="10" t="n"/>
      <c r="BV7" s="10" t="n"/>
      <c r="BW7" s="10" t="n"/>
      <c r="BX7" s="10" t="n"/>
      <c r="BY7" s="10" t="n"/>
      <c r="BZ7" s="10" t="n"/>
      <c r="CA7" s="10" t="n"/>
      <c r="CB7" s="10" t="n"/>
      <c r="CC7" s="10" t="n"/>
      <c r="CD7" s="10" t="n"/>
      <c r="CE7" s="10" t="n"/>
      <c r="CF7" s="10" t="n"/>
      <c r="CG7" s="10" t="n"/>
    </row>
    <row r="8" ht="409.5" customHeight="1">
      <c r="A8" s="8" t="inlineStr">
        <is>
          <t>PAPER_007</t>
        </is>
      </c>
      <c r="B8" s="10" t="inlineStr">
        <is>
          <t>A Swarm Intelligence Graph-Based Pathfinding Algorithm Based on Fuzzy Logic (SIGPAF): A Case Study on Unmanned Surface Vehicle Multi-Objective Path Planning.</t>
        </is>
      </c>
      <c r="C8" s="10" t="inlineStr">
        <is>
          <t>Charis Ntakolia, Dimitrios V. Lyridis.</t>
        </is>
      </c>
      <c r="D8" s="8" t="n">
        <v>2021</v>
      </c>
      <c r="E8" s="8" t="inlineStr">
        <is>
          <t>Journal of Marine Science and Engineering (J. Mar. Sci. Eng.).</t>
        </is>
      </c>
      <c r="F8" s="8" t="inlineStr">
        <is>
          <t>Journal</t>
        </is>
      </c>
      <c r="G8" s="8" t="inlineStr">
        <is>
          <t>N/A</t>
        </is>
      </c>
      <c r="H8" s="8" t="inlineStr">
        <is>
          <t>10.3390/jmse9111243.</t>
        </is>
      </c>
      <c r="I8" s="5" t="inlineStr">
        <is>
          <t>https://doi.org/10.3390/jmse9111243.</t>
        </is>
      </c>
      <c r="J8" s="8" t="inlineStr">
        <is>
          <t>Otro</t>
        </is>
      </c>
      <c r="K8" s="8" t="inlineStr">
        <is>
          <t>Información no proporcionada en las fuentes.</t>
        </is>
      </c>
      <c r="L8" s="8" t="inlineStr">
        <is>
          <t>Otro</t>
        </is>
      </c>
      <c r="M8" s="10" t="inlineStr">
        <is>
          <t>Lógica Difusa (Fuzzy Logic) y Sistemas de Inferencia Difusa (FIS).</t>
        </is>
      </c>
      <c r="N8" s="10" t="inlineStr">
        <is>
          <t>SIGPAF-M (basado en Mamdani) y SIGPAF-TSK (basado en Takagi–Sugeno–Kang).</t>
        </is>
      </c>
      <c r="O8" s="8" t="inlineStr">
        <is>
          <t>Otro</t>
        </is>
      </c>
      <c r="P8" s="10" t="inlineStr">
        <is>
          <t>Planificación de rutas para Vehículos de Superficie No Tripulados (USVs) en el transporte marítimo.</t>
        </is>
      </c>
      <c r="Q8" s="10" t="inlineStr">
        <is>
          <t>El estudio se centra en el problema de planificación de ruta para un USV desde un nodo inicial hasta múltiples objetivos (Traveling Salesman Problem - TSP).</t>
        </is>
      </c>
      <c r="R8" s="8" t="inlineStr">
        <is>
          <t>2D-Dinámico</t>
        </is>
      </c>
      <c r="S8" s="8" t="inlineStr">
        <is>
          <t>Sí-Dinámicos</t>
        </is>
      </c>
      <c r="T8" s="10" t="inlineStr">
        <is>
          <t>Tiempo de cálculo (Computing time en milisegundos, ms).</t>
        </is>
      </c>
      <c r="U8" s="10" t="inlineStr">
        <is>
          <t>Consumo de energía (Energy consumption, minEC, en kg/h).</t>
        </is>
      </c>
      <c r="V8" s="10" t="inlineStr">
        <is>
          <t>Distancia recorrida (Traveled distance, minD, en km).</t>
        </is>
      </c>
      <c r="W8" s="10" t="inlineStr">
        <is>
          <t>El algoritmo SIGPA tiene un error aceptable de convergencia (tol) como criterio de terminación.</t>
        </is>
      </c>
      <c r="X8" s="10" t="inlineStr">
        <is>
          <t>SIGPA tiene un bajo esfuerzo computacional, ideal para tiempo real. SIGPAF-M tiene mayor gasto computacional (más tiempo de defuzzificación). SIGPAF-TSK tiene menor tiempo de procesamiento que Mamdani y alcanza un mejor equilibrio entre el tiempo de cálculo y la calidad de la solución.</t>
        </is>
      </c>
      <c r="Y8" s="8" t="inlineStr">
        <is>
          <t>Simulación+Experimentos</t>
        </is>
      </c>
      <c r="Z8" s="10" t="inlineStr">
        <is>
          <t>Se simuló usando Java, en un entorno Microsoft Windows 10 con un procesador AMD Ryzen 7 3800X 8-Core a 3.89 GHz y 32GB RAM.</t>
        </is>
      </c>
      <c r="AA8" s="8" t="inlineStr">
        <is>
          <t>No</t>
        </is>
      </c>
      <c r="AB8" s="10" t="inlineStr">
        <is>
          <t>Para los escenarios aleatorios, se utilizaron grafos de 160 nodos, con 5 a 25 objetivos y 356 arcos permitidos.</t>
        </is>
      </c>
      <c r="AC8" s="10" t="inlineStr">
        <is>
          <t>SIGPA: Fiable para aplicaciones en tiempo real. SIGPAF-M: Genera mejores rutas con respecto a los objetivos. SIGPAF-TSK: Alcanza un mejor trade-off (equilibrio) entre el tiempo de cálculo y la calidad de la solución. Es robusto ante la presencia de ruido.</t>
        </is>
      </c>
      <c r="AD8" s="10" t="inlineStr">
        <is>
          <t>SIGPA: Pérdida en la calidad de la solución. SIGPAF (General): Presenta la debilidad de un alto gasto computacional en comparación con enfoques no difusos. SIGPAF-TSK: Solo puede usarse para sistemas MISO (Multiple-Input Single-Output) y hay una pérdida de interpretabilidad.</t>
        </is>
      </c>
      <c r="AE8" s="10" t="inlineStr">
        <is>
          <t>SIGPA (original), SIGPAF-M (Mamdani FIS) y SIGPAF-TSK (Takagi–Sugeno–Kang FIS).</t>
        </is>
      </c>
      <c r="AF8" s="10" t="inlineStr">
        <is>
          <t>Mejorar el algoritmo SIGPA al integrar lógica difusa para generar caminos óptimos entre múltiples objetivos, abordando el problema de la planificación multi-objetivo para USVs.</t>
        </is>
      </c>
      <c r="AG8" s="10" t="inlineStr">
        <is>
          <t>Incluye el desarrollo de estudios de casos reales bajo diversas condiciones, modificando el modelado matemático para ajustarse a condiciones más complejas y reales.</t>
        </is>
      </c>
      <c r="AH8" s="8" t="inlineStr">
        <is>
          <t>Media</t>
        </is>
      </c>
      <c r="AI8" s="8" t="inlineStr">
        <is>
          <t>Multiple</t>
        </is>
      </c>
      <c r="AJ8" s="10" t="inlineStr">
        <is>
          <t>La fuente proporciona la información de citación de la siguiente manera: Ntakolia, C.; Lyridis, D.V. A Swarm Intelligence Graph-Based Pathfinding Algorithm Based on Fuzzy Logic (SIGPAF): A Case Study on Unmanned Surface Vehicle Multi-Objective Path Planning. J. Mar. Sci. Eng. 2021, 9, 1243. El DOI es https://doi.org/10.3390/jmse9111243. La información necesaria para un formato BibTeX completo (como el tipo de entrada, article) se puede construir, pero la fuente proporciona el formato de citación académica directamente.</t>
        </is>
      </c>
      <c r="AK8" s="10" t="inlineStr">
        <is>
          <t>path planning; metaheuristic algorithms; unmanned surface vehicles; maritime transportation; optimization; fuzzy logic.</t>
        </is>
      </c>
      <c r="AL8" s="10" t="inlineStr">
        <is>
          <t>El estudio busca mejorar el rendimiento del algoritmo SIGPA mediante la integración de la lógica difusa (SIGPAF) para hacer frente a múltiples objetivos y generar soluciones de calidad. Se realiza una evaluación comparativa entre SIGPA y los dos sistemas de inferencia difusa más populares, Mamdani (SIGPAF-M) y Takagi–Sugeno–Kang (SIGPAF-TSK). Los resultados mostraron que SIGPA sigue siendo un enfoque fiable para aplicaciones en tiempo real debido a su bajo esfuerzo computacional; SIGPAF-M genera mejores rutas; y SIGPAF-TSK logra un mejor equilibrio (trade-off) entre la calidad de la solución y el tiempo de cálculo.</t>
        </is>
      </c>
      <c r="AM8" s="10" t="inlineStr">
        <is>
          <t>Figura 1: Diagrama de flujo del algoritmo de búsqueda de rutas basado en grafos glotón (GPA). Figura 2: Diagrama de flujo del algoritmo SIGPA. Figura 3: Función de pertenencia del Criterio 1 (Distancia Recorrida, Ecuación (1)). Figura 4: Función de pertenencia del Criterio 2 (Desviaciones de la ruta, Ecuación (2)). Figura 5: Función de pertenencia del Criterio 3 (Consumo de energía, Ecuación (3)). Figura 6: Función de pertenencia de la calidad general de la ruta. Figura 7: Diagrama de flujo del algoritmo SIGPAF. Figura 8: Entorno de simulación utilizado para la evaluación comparativa (área portuaria de El Pireo). Figura 9: Misiones utilizadas para la evaluación comparativa (Misión 1, Misión 2 y Misión 3).</t>
        </is>
      </c>
      <c r="AN8" s="10" t="inlineStr">
        <is>
          <t>Los enfoques tradicionales de planificación de rutas suelen incluir modelos de objetivo único, como la minimización de la distancia recorrida, el tiempo o el consumo de energía, utilizando algoritmos como Dijkstra y A*. Sin embargo, los entornos dinámicos y complejos exigen la planificación de rutas multi-objetivo (MO) donde se debe encontrar un equilibrio entre criterios contradictorios. Las metodologías convencionales para problemas MO, como el método de suma ponderada (WSM) o la optimización de Pareto, tienen limitaciones como el riesgo de soluciones óptimas locales o la necesidad de un responsable de la toma de decisiones, lo cual es crucial en aplicaciones en tiempo real. Los algoritmos basados en la búsqueda de rutas, como Dijkstra y A*, demandan un alto esfuerzo computacional, especialmente en mapas grandes y entornos complejos.</t>
        </is>
      </c>
      <c r="AO8" s="10" t="inlineStr">
        <is>
          <t>La metodología aborda la planificación de rutas multi-objetivo basada en grafos para USVs con obstáculos estáticos. Se formulan tres términos objetivos de optimización: Distancia Recorrida (minD), Desviaciones de la Ruta (minϕ) y Consumo de Energía (minEC). El algoritmo propuesto, SIGPAF, se basa en los principios del algoritmo A* y en el metaheurístico SIGPA. La lógica difusa se emplea para evaluar cada nodo durante la búsqueda de una ruta y para clasificar las rutas. Se utilizan tres subconjuntos difusos para las variables de entrada (por ejemplo, "corto", "moderado", "largo" para la distancia) y cinco para la variable de salida (Calidad de la Ruta). Se emplean los sistemas de inferencia difusa (FIS) de Mamdani y Takagi–Sugeno–Kang (TSK) para la evaluación.</t>
        </is>
      </c>
      <c r="AP8" s="10" t="inlineStr">
        <is>
          <t>La integración de la lógica difusa generalmente mejoró el rendimiento del algoritmo SIGPA en términos de optimización del camino con respecto a los objetivos. El algoritmo SIGPA necesita menos tiempo de cálculo (es más eficiente computacionalmente), ya que su criterio de evaluación se basa en el Error Cuadrático Medio (RMSE). SIGPAF-M tuvo éxito en encontrar mejores rutas con respecto a los términos objetivos (distancia recorrida, consumo de energía y desviaciones) en todos los casos iniciales, y este resultado se validó en escenarios aleatorios de complejidad creciente. SIGPAF-TSK presentó un rendimiento comparable al de SIGPA en el tiempo de cálculo, al mismo tiempo que alcanzó un mejor equilibrio (trade-off) entre el tiempo de cálculo y la calidad de la solución a medida que la complejidad del problema aumentaba.</t>
        </is>
      </c>
      <c r="AQ8" s="10" t="inlineStr">
        <is>
          <t>SIGPA es una solución creíble para aplicaciones en tiempo real debido a su esfuerzo computacional, aunque con una pérdida en la calidad de la solución. Mamdani FIS (SIGPAF-M) genera mejores rutas con respecto a los términos objetivos, pero requiere más tiempo de cálculo. Para una solución equilibrada entre el tiempo de cálculo y la calidad de la solución, se recomienda el Takagi–Sugeno–Kang (SIGPAF-TSK).</t>
        </is>
      </c>
      <c r="AR8" s="8" t="inlineStr">
        <is>
          <t>Analizado</t>
        </is>
      </c>
      <c r="AS8" s="9" t="n">
        <v>46030</v>
      </c>
      <c r="AT8" s="10" t="inlineStr">
        <is>
          <t xml:space="preserve">La investigación se centra en mejorar el algoritmo metaheurístico SIGPA mediante la integración de lógica difusa (SIGPAF) para abordar la planificación de rutas multi-objetivo (MO) para Vehículos de Superficie No Tripulados (USV), ya que los enfoques tradicionales de objetivo único, como Dijkstra y A*, resultan ser computacionalmente exigentes e insuficientes en entornos marítimos complejos y dinámicos. El problema MO se formuló para minimizar tres términos objetivos en conflicto: la Distancia Recorrida (minD), las Desviaciones de la Ruta (minϕ) y el Consumo de Energía (minEC), términos que son evaluados por un Sistema de Inferencia Difusa (FIS) que utiliza conjuntos difusos como "corto", "moderado" y "largo" para la distancia. </t>
        </is>
      </c>
      <c r="AU8" s="10" t="inlineStr">
        <is>
          <t>Los autores declaran no tener conflicto de intereses.</t>
        </is>
      </c>
      <c r="AV8" s="10" t="n"/>
      <c r="AW8" s="10" t="n"/>
      <c r="AX8" s="10" t="n"/>
      <c r="AY8" s="10" t="n"/>
      <c r="AZ8" s="10" t="n"/>
      <c r="BA8" s="10" t="n"/>
      <c r="BB8" s="10" t="n"/>
      <c r="BC8" s="10" t="n"/>
      <c r="BD8" s="10" t="n"/>
      <c r="BE8" s="10" t="n"/>
      <c r="BF8" s="10" t="n"/>
      <c r="BG8" s="10" t="n"/>
      <c r="BH8" s="10" t="n"/>
      <c r="BI8" s="10" t="n"/>
      <c r="BJ8" s="10" t="n"/>
      <c r="BK8" s="10" t="n"/>
      <c r="BL8" s="10" t="n"/>
      <c r="BM8" s="10" t="n"/>
      <c r="BN8" s="10" t="n"/>
      <c r="BO8" s="10" t="n"/>
      <c r="BP8" s="10" t="n"/>
      <c r="BQ8" s="10" t="n"/>
      <c r="BR8" s="10" t="n"/>
      <c r="BS8" s="10" t="n"/>
      <c r="BT8" s="10" t="n"/>
      <c r="BU8" s="10" t="n"/>
      <c r="BV8" s="10" t="n"/>
      <c r="BW8" s="10" t="n"/>
      <c r="BX8" s="10" t="n"/>
      <c r="BY8" s="10" t="n"/>
      <c r="BZ8" s="10" t="n"/>
      <c r="CA8" s="10" t="n"/>
      <c r="CB8" s="10" t="n"/>
      <c r="CC8" s="10" t="n"/>
      <c r="CD8" s="10" t="n"/>
      <c r="CE8" s="10" t="n"/>
      <c r="CF8" s="10" t="n"/>
      <c r="CG8" s="10" t="n"/>
    </row>
    <row r="9" ht="110.25" customHeight="1">
      <c r="A9" s="8" t="inlineStr">
        <is>
          <t>PAPER_008</t>
        </is>
      </c>
      <c r="B9" s="10" t="inlineStr">
        <is>
          <t>Study on border patrol task planning of heterogeneous UAVs group based on swarm intelligence</t>
        </is>
      </c>
      <c r="C9" s="10" t="inlineStr">
        <is>
          <t>Nan Pan, Miaohan Zhang, Yuxuan Sun, Shiyun Chen, Haishi Liu, Xiaojue Guo</t>
        </is>
      </c>
      <c r="D9" s="8" t="n">
        <v>2022</v>
      </c>
      <c r="E9" s="8" t="inlineStr">
        <is>
          <t>Science Progress</t>
        </is>
      </c>
      <c r="F9" s="8" t="inlineStr">
        <is>
          <t>Journal</t>
        </is>
      </c>
      <c r="G9" s="10" t="inlineStr">
        <is>
          <t>No mencionado en fuentes</t>
        </is>
      </c>
      <c r="H9" s="8" t="inlineStr">
        <is>
          <t>10.1177/00368504221094722</t>
        </is>
      </c>
      <c r="I9" s="5" t="inlineStr">
        <is>
          <t>journals.sagepub.com/home/sci</t>
        </is>
      </c>
      <c r="J9" s="8" t="inlineStr">
        <is>
          <t>Otro</t>
        </is>
      </c>
      <c r="K9" s="10" t="inlineStr">
        <is>
          <t>No especificado en texto</t>
        </is>
      </c>
      <c r="L9" s="8" t="inlineStr">
        <is>
          <t>Otro</t>
        </is>
      </c>
      <c r="M9" s="10" t="inlineStr">
        <is>
          <t>Algoritmo de optimización por enjambre de partículas (PSO) y Evolución Diferencial (DE) para comparación y mejora</t>
        </is>
      </c>
      <c r="N9" s="10" t="inlineStr">
        <is>
          <t>Algoritmo de salto de rana mejorado (ISFLA) basado en mecanismo de búsqueda en espiral y factor de paso adaptativo</t>
        </is>
      </c>
      <c r="O9" s="8" t="inlineStr">
        <is>
          <t>Vigilancia</t>
        </is>
      </c>
      <c r="P9" s="10" t="inlineStr">
        <is>
          <t>Patrullaje con UAVs heterogéneos en entornos de montaña complejos en 3D</t>
        </is>
      </c>
      <c r="Q9" s="10" t="inlineStr">
        <is>
          <t>5 UAVs de tres tipos diferentes</t>
        </is>
      </c>
      <c r="R9" s="8" t="inlineStr">
        <is>
          <t>3D-Dinámico</t>
        </is>
      </c>
      <c r="S9" s="10" t="inlineStr">
        <is>
          <t>Cizalladura del viento, áreas militares restringidas, campos magnéticos, picos montañosos y ríos</t>
        </is>
      </c>
      <c r="T9" s="10" t="inlineStr">
        <is>
          <t>Evalúa eficiencia de resolución y tiempo de vuelo por segmento de trayectoria</t>
        </is>
      </c>
      <c r="U9" s="10" t="inlineStr">
        <is>
          <t>Consumo de energía de patrulla mínimo</t>
        </is>
      </c>
      <c r="V9" s="10" t="inlineStr">
        <is>
          <t>Máxima cobertura de patrulla de puntos de interés</t>
        </is>
      </c>
      <c r="W9" s="10" t="inlineStr">
        <is>
          <t>Mejora significativa en convergencia global y precisión en comparación con otros algoritmos</t>
        </is>
      </c>
      <c r="X9" s="10" t="inlineStr">
        <is>
          <t>SFLA descrito con estructura simple y alta eficiencia de resolución</t>
        </is>
      </c>
      <c r="Y9" s="8" t="inlineStr">
        <is>
          <t>Solo Simulación</t>
        </is>
      </c>
      <c r="Z9" s="10" t="inlineStr">
        <is>
          <t>Software Matlab 2017b ejecutado en CPU Intel i7-9750H (2.60 GHz) con 16 GB de RAM</t>
        </is>
      </c>
      <c r="AA9" s="8" t="inlineStr">
        <is>
          <t>No</t>
        </is>
      </c>
      <c r="AB9" s="10" t="inlineStr">
        <is>
          <t>30 puntos de patrulla y 7 áreas de amenaza (picos montañosos)</t>
        </is>
      </c>
      <c r="AC9" s="10" t="inlineStr">
        <is>
          <t>Mayor adaptabilidad ambiental, alta eficiencia de patrulla, bajos costos operativos, precisión de solución superior al SFLA tradicional en 33.6%</t>
        </is>
      </c>
      <c r="AD9" s="10" t="inlineStr">
        <is>
          <t>SFLA tradicional depende excesivamente de parámetros de inicialización y tiende a caer en estancamiento (stagnation)</t>
        </is>
      </c>
      <c r="AE9" s="10" t="inlineStr">
        <is>
          <t>Algoritmos PSO, DE y SFLA estándar</t>
        </is>
      </c>
      <c r="AF9" s="10" t="inlineStr">
        <is>
          <t>Creación de modelo de planificación 3D coordinado para drones heterogéneos y propuesta de algoritmo ISFLA que integra estrategia de cruce diferencial y factores de paso adaptativos</t>
        </is>
      </c>
      <c r="AG9" s="10" t="inlineStr">
        <is>
          <t>Investigar planificación de patrullas específicamente enfocada en características ambientales de áreas montañosas de meseta</t>
        </is>
      </c>
      <c r="AH9" s="8" t="inlineStr">
        <is>
          <t>Alta</t>
        </is>
      </c>
      <c r="AI9" s="8" t="inlineStr">
        <is>
          <t>Multiple</t>
        </is>
      </c>
      <c r="AJ9" s="10" t="inlineStr">
        <is>
          <t>No presente en formato BibTeX; extraíble: Pan, N., et al. (2022). Study on border patrol task planning... Science Progress, 104(S4)</t>
        </is>
      </c>
      <c r="AK9" s="10" t="inlineStr">
        <is>
          <t>Heterogeneous UAVs, border patrol, shuffled frog leaping algorithm, patrol task planning, track planning</t>
        </is>
      </c>
      <c r="AL9" s="10" t="inlineStr">
        <is>
          <t>Propone método de patrulla fronteriza con UAVs heterogéneos mediante modelo de planificación coordinado 3D. Utiliza algoritmo ISFLA para optimizar consumo de energía y cobertura en entornos montañosos, demostrando mediante simulaciones mayor eficiencia y precisión que algoritmos PSO y DE</t>
        </is>
      </c>
      <c r="AM9" s="10" t="inlineStr">
        <is>
          <t>Mapa topográfico (Fig 1), Modelo de ajuste ambiental (Fig 2), División de población (Fig 3), Factor de paso adaptativo (Fig 4), Gráficas consumo energía y precisión (Figs 9-12)</t>
        </is>
      </c>
      <c r="AN9" s="10" t="inlineStr">
        <is>
          <t>Traditional border patrol methods have been unable to adapt to the current requirements of border patrol</t>
        </is>
      </c>
      <c r="AO9" s="10" t="inlineStr">
        <is>
          <t>Design an improved shuffled frog leaping algorithm (ISFLA) based on spiral search mechanism to solve the problem of task planning</t>
        </is>
      </c>
      <c r="AP9" s="10" t="inlineStr">
        <is>
          <t>The solution accuracy of the ISLFA algorithm is 33.6%, 8.5%, and 12.4% higher than that of the SFLA, PSO, and DE algorithms, respectively</t>
        </is>
      </c>
      <c r="AQ9" s="10" t="inlineStr">
        <is>
          <t>The use of heterogeneous UAVs to perform the border patrol task can effectively compensate for the problems existing in the single-type UAVs</t>
        </is>
      </c>
      <c r="AR9" s="8" t="inlineStr">
        <is>
          <t>Analizado</t>
        </is>
      </c>
      <c r="AS9" s="7" t="n">
        <v>46032</v>
      </c>
      <c r="AT9" s="10" t="inlineStr">
        <is>
          <t>Modelo considera factores físicos reales como resistencia del aire y densidad del aire constante</t>
        </is>
      </c>
      <c r="AU9" s="10" t="inlineStr">
        <is>
          <t>Autores declaran que no existen conflictos de interés potenciales</t>
        </is>
      </c>
      <c r="AV9" s="10" t="n"/>
      <c r="AW9" s="10" t="n"/>
      <c r="AX9" s="10" t="n"/>
      <c r="AY9" s="10" t="n"/>
      <c r="AZ9" s="10" t="n"/>
      <c r="BA9" s="10" t="n"/>
      <c r="BB9" s="10" t="n"/>
      <c r="BC9" s="10" t="n"/>
      <c r="BD9" s="10" t="n"/>
      <c r="BE9" s="10" t="n"/>
      <c r="BF9" s="10" t="n"/>
      <c r="BG9" s="10" t="n"/>
      <c r="BH9" s="10" t="n"/>
      <c r="BI9" s="10" t="n"/>
      <c r="BJ9" s="10" t="n"/>
      <c r="BK9" s="10" t="n"/>
      <c r="BL9" s="10" t="n"/>
      <c r="BM9" s="10" t="n"/>
      <c r="BN9" s="10" t="n"/>
      <c r="BO9" s="10" t="n"/>
      <c r="BP9" s="10" t="n"/>
      <c r="BQ9" s="10" t="n"/>
      <c r="BR9" s="10" t="n"/>
      <c r="BS9" s="10" t="n"/>
      <c r="BT9" s="10" t="n"/>
      <c r="BU9" s="10" t="n"/>
      <c r="BV9" s="10" t="n"/>
      <c r="BW9" s="10" t="n"/>
      <c r="BX9" s="10" t="n"/>
      <c r="BY9" s="10" t="n"/>
      <c r="BZ9" s="10" t="n"/>
      <c r="CA9" s="10" t="n"/>
      <c r="CB9" s="10" t="n"/>
      <c r="CC9" s="10" t="n"/>
      <c r="CD9" s="10" t="n"/>
      <c r="CE9" s="10" t="n"/>
      <c r="CF9" s="10" t="n"/>
      <c r="CG9" s="10" t="n"/>
    </row>
    <row r="10" ht="110.25" customHeight="1">
      <c r="A10" s="8" t="inlineStr">
        <is>
          <t>PAPER_009</t>
        </is>
      </c>
      <c r="B10" s="10" t="inlineStr">
        <is>
          <t>Safety-enhanced UAV path planning with spherical vector-based particle swarm optimization</t>
        </is>
      </c>
      <c r="C10" s="10" t="inlineStr">
        <is>
          <t>Manh Duong Phung, Quang Phuc Ha</t>
        </is>
      </c>
      <c r="D10" s="8" t="n">
        <v>2021</v>
      </c>
      <c r="E10" s="8" t="inlineStr">
        <is>
          <t>Applied Soft Computing Journal (Volumen 107)</t>
        </is>
      </c>
      <c r="F10" s="8" t="inlineStr">
        <is>
          <t>Journal</t>
        </is>
      </c>
      <c r="G10" s="10" t="inlineStr">
        <is>
          <t>No disponible explícitamente en fuentes</t>
        </is>
      </c>
      <c r="H10" s="4" t="inlineStr">
        <is>
          <t>https://doi.org/10.1016/j.asoc.2021.107376</t>
        </is>
      </c>
      <c r="I10" s="8" t="inlineStr">
        <is>
          <t>https://github.com/duongpm/SPSO (código fuente)</t>
        </is>
      </c>
      <c r="J10" s="8" t="inlineStr">
        <is>
          <t>ScienceDirect</t>
        </is>
      </c>
      <c r="K10" s="10" t="inlineStr">
        <is>
          <t>Incluye 48 referencias bibliográficas</t>
        </is>
      </c>
      <c r="L10" s="8" t="inlineStr">
        <is>
          <t>PSO</t>
        </is>
      </c>
      <c r="M10" s="10" t="inlineStr">
        <is>
          <t>Algoritmo Genético (GA), Colonia de Abejas Artificiales (ABC), Evolución Diferencial (DE) para comparación</t>
        </is>
      </c>
      <c r="N10" s="10" t="inlineStr">
        <is>
          <t>SPSO, que utiliza sistema de coordenadas esféricas para representar movimientos del UAV</t>
        </is>
      </c>
      <c r="O10" s="8" t="inlineStr">
        <is>
          <t>Mapeo</t>
        </is>
      </c>
      <c r="P10" s="10" t="inlineStr">
        <is>
          <t>Fotografía aérea, mapeo e inspección de superficies</t>
        </is>
      </c>
      <c r="Q10" s="10" t="inlineStr">
        <is>
          <t>Centrado en planificación para un solo UAV, validado con dron 3DR Solo</t>
        </is>
      </c>
      <c r="R10" s="8" t="inlineStr">
        <is>
          <t>3D-Dinámico</t>
        </is>
      </c>
      <c r="S10" s="10" t="inlineStr">
        <is>
          <t>Amenazas prescritas en cilindros y terreno irregular derivado de datos LiDAR</t>
        </is>
      </c>
      <c r="T10" s="10" t="inlineStr">
        <is>
          <t>Evalúa tiempo de computación (ventaja de PSO) y minimización de tiempo de vuelo</t>
        </is>
      </c>
      <c r="U10" s="10" t="inlineStr">
        <is>
          <t>Minimización de consumo de combustible, relacionado directamente con longitud de trayectoria</t>
        </is>
      </c>
      <c r="V10" s="10" t="inlineStr">
        <is>
          <t>Enfoque principal es seguridad y evitación de colisiones, no cobertura de área</t>
        </is>
      </c>
      <c r="W10" s="10" t="inlineStr">
        <is>
          <t>Análisis de estabilidad y velocidad de convergencia; SPSO muestra rendimiento superior frente a variantes como QPSO</t>
        </is>
      </c>
      <c r="X10" s="10" t="inlineStr">
        <is>
          <t>Analiza escalabilidad del algoritmo al aumentar número de puntos de ruta (waypoints) de 12 a 22</t>
        </is>
      </c>
      <c r="Y10" s="8" t="inlineStr">
        <is>
          <t>Prueba estadística t-test de muestras emparejadas y pruebas de vuelo experimentales</t>
        </is>
      </c>
      <c r="Z10" s="10" t="inlineStr">
        <is>
          <t>Escenarios de referencia creados a partir de mapas de Isla de Navidad, Australia</t>
        </is>
      </c>
      <c r="AA10" s="8" t="inlineStr">
        <is>
          <t>Sí-Ambos</t>
        </is>
      </c>
      <c r="AB10" s="10" t="inlineStr">
        <is>
          <t>8 escenarios de evaluación con diferentes niveles de complejidad</t>
        </is>
      </c>
      <c r="AC10" s="10" t="inlineStr">
        <is>
          <t>Búsqueda eficiente en espacio de configuración, integración directa de restricciones de giro y ascenso, mayor capacidad para evitar óptimos locales comparado con PSO clásico</t>
        </is>
      </c>
      <c r="AD10" s="10" t="inlineStr">
        <is>
          <t>Posibilidad de convergencia prematura en ciertos escenarios y uso de restricciones "duras" que podrían no ser óptimas para cambios dinámicos rápidos</t>
        </is>
      </c>
      <c r="AE10" s="10" t="inlineStr">
        <is>
          <t>PSO clásico, θ-PSO, QPSO, GA, ABC y DE</t>
        </is>
      </c>
      <c r="AF10" s="10" t="inlineStr">
        <is>
          <t>Introducción de algoritmo SPSO y nueva función de costo integral que considera longitud, amenazas, suavidad y altura de vuelo</t>
        </is>
      </c>
      <c r="AG10" s="10" t="inlineStr">
        <is>
          <t>Incorporar restricciones basadas en modelo dinámico exacto del UAV y probar SPSO en otros problemas de optimización</t>
        </is>
      </c>
      <c r="AH10" s="8" t="inlineStr">
        <is>
          <t>Alta</t>
        </is>
      </c>
      <c r="AI10" s="8" t="inlineStr">
        <is>
          <t>Multiple</t>
        </is>
      </c>
      <c r="AJ10" s="10" t="inlineStr">
        <is>
          <t>No proporcionado en información dada</t>
        </is>
      </c>
      <c r="AK10" s="10" t="inlineStr">
        <is>
          <t>Path planning, Particle swarm optimization, UAV</t>
        </is>
      </c>
      <c r="AL10" s="10" t="inlineStr">
        <is>
          <t>SPSO es nuevo algoritmo que optimiza rutas de UAVs traduciendo posición de partículas en vectores esféricos (velocidad y ángulos), permitiendo búsqueda más efectiva en espacio de configuración y superando a algoritmos estado-de-la-arte en simulaciones y pruebas reales</t>
        </is>
      </c>
      <c r="AM10" s="10" t="inlineStr">
        <is>
          <t>Fig. 1 (Costo de amenaza), Fig. 3 (Cálculo de ángulos), Fig. 7 (Trayectorias 3D), Fig. 12 (Resultados experimentales)</t>
        </is>
      </c>
      <c r="AN10" s="10" t="inlineStr">
        <is>
          <t>Planificación de rutas es crítica para que UAVs eviten amenazas y operen eficientemente minimizando distancia o tiempo</t>
        </is>
      </c>
      <c r="AO10" s="10" t="inlineStr">
        <is>
          <t>SPSO codifica ruta como serie de vectores en coordenadas esféricas con magnitud (ρ), elevación (ψ) y azimut (ϕ)</t>
        </is>
      </c>
      <c r="AP10" s="10" t="inlineStr">
        <is>
          <t>SPSO logra mejores valores de aptitud (fitness) de manera estadística en escenarios complejos de alta densidad de obstáculos</t>
        </is>
      </c>
      <c r="AQ10" s="10" t="inlineStr">
        <is>
          <t>Algoritmo genera rutas factibles y seguras, demostrando precisión notable en seguimiento de trayectoria durante pruebas reales</t>
        </is>
      </c>
      <c r="AR10" s="8" t="inlineStr">
        <is>
          <t>Analizado</t>
        </is>
      </c>
      <c r="AS10" s="7" t="n">
        <v>46032</v>
      </c>
      <c r="AT10" s="10" t="inlineStr">
        <is>
          <t>Mapeo directo entre variables del algoritmo y capacidades físicas del dron (giro y ascenso) es lo que otorga ventaja competitiva a SPSO</t>
        </is>
      </c>
      <c r="AU10" s="10" t="inlineStr">
        <is>
          <t>Necesidad de investigar mecanismos de aleatorización, como vuelos de Lévy, para evitar que enjambre quede atrapado en soluciones locales</t>
        </is>
      </c>
      <c r="AV10" s="10" t="n"/>
      <c r="AW10" s="10" t="n"/>
      <c r="AX10" s="10" t="n"/>
      <c r="AY10" s="10" t="n"/>
      <c r="AZ10" s="10" t="n"/>
      <c r="BA10" s="10" t="n"/>
      <c r="BB10" s="10" t="n"/>
      <c r="BC10" s="10" t="n"/>
      <c r="BD10" s="10" t="n"/>
      <c r="BE10" s="10" t="n"/>
      <c r="BF10" s="10" t="n"/>
      <c r="BG10" s="10" t="n"/>
      <c r="BH10" s="10" t="n"/>
      <c r="BI10" s="10" t="n"/>
      <c r="BJ10" s="10" t="n"/>
      <c r="BK10" s="10" t="n"/>
      <c r="BL10" s="10" t="n"/>
      <c r="BM10" s="10" t="n"/>
      <c r="BN10" s="10" t="n"/>
      <c r="BO10" s="10" t="n"/>
      <c r="BP10" s="10" t="n"/>
      <c r="BQ10" s="10" t="n"/>
      <c r="BR10" s="10" t="n"/>
      <c r="BS10" s="10" t="n"/>
      <c r="BT10" s="10" t="n"/>
      <c r="BU10" s="10" t="n"/>
      <c r="BV10" s="10" t="n"/>
      <c r="BW10" s="10" t="n"/>
      <c r="BX10" s="10" t="n"/>
      <c r="BY10" s="10" t="n"/>
      <c r="BZ10" s="10" t="n"/>
      <c r="CA10" s="10" t="n"/>
      <c r="CB10" s="10" t="n"/>
      <c r="CC10" s="10" t="n"/>
      <c r="CD10" s="10" t="n"/>
      <c r="CE10" s="10" t="n"/>
      <c r="CF10" s="10" t="n"/>
      <c r="CG10" s="10" t="n"/>
    </row>
    <row r="11" ht="141.75" customHeight="1">
      <c r="A11" s="8" t="inlineStr">
        <is>
          <t>PAPER_010</t>
        </is>
      </c>
      <c r="B11" s="10" t="inlineStr">
        <is>
          <t>A review of artificial intelligence applied to path planning in UAV swarms.</t>
        </is>
      </c>
      <c r="C11" s="10" t="inlineStr">
        <is>
          <t>Alejandro Puente-Castro, Daniel Rivero, Alejandro Pazos, Enrique Fernandez-Blanco</t>
        </is>
      </c>
      <c r="D11" s="8" t="n">
        <v>2021</v>
      </c>
      <c r="E11" s="8" t="inlineStr">
        <is>
          <t>Neural Computing and Applications</t>
        </is>
      </c>
      <c r="F11" s="8" t="inlineStr">
        <is>
          <t>Review</t>
        </is>
      </c>
      <c r="G11" s="8" t="inlineStr">
        <is>
          <t>N/A</t>
        </is>
      </c>
      <c r="H11" s="8" t="inlineStr">
        <is>
          <t>10.1007/s00521-021-06569-4</t>
        </is>
      </c>
      <c r="I11" s="5" t="inlineStr">
        <is>
          <t>https://doi.org/10.1007/s00521-021-06569-4</t>
        </is>
      </c>
      <c r="J11" s="8" t="inlineStr">
        <is>
          <t>IEEE Xplore</t>
        </is>
      </c>
      <c r="K11" s="8" t="inlineStr">
        <is>
          <t>39 artículos revisados</t>
        </is>
      </c>
      <c r="L11" s="8" t="inlineStr">
        <is>
          <t>Otro</t>
        </is>
      </c>
      <c r="M11" s="10" t="inlineStr">
        <is>
          <t>El estudio clasifica las técnicas en cuatro grupos principales: Aprendizaje por Refuerzo (RL), Computación Evolutiva (EC), Inteligencia de Enjambre (SI) y Redes Neuronales de Grafos (GNN).</t>
        </is>
      </c>
      <c r="N11" s="10" t="inlineStr">
        <is>
          <t>Q-Learning, Deep Q-Learning (DQN), SARSA, Algoritmos Genéticos (GA), Optimización de Colonia de Hormigas (ACO) y Optimización por Enjambre de Partículas (PSO).</t>
        </is>
      </c>
      <c r="O11" s="8" t="inlineStr">
        <is>
          <t>Búsqueda-Rescate</t>
        </is>
      </c>
      <c r="P11" s="10" t="inlineStr">
        <is>
          <t>Agricultura (monitoreo de cultivos), rescate y emergencias, vigilancia militar, monitoreo de inundaciones y usos recreativos (fotografía aérea y sustitución de fuegos artificiales).</t>
        </is>
      </c>
      <c r="Q11" s="10" t="inlineStr">
        <is>
          <t>Se enfoca en enjambres (swarms) o grupos de UAVs, analizando trabajos que van desde pocos drones hasta configuraciones masivas para tareas simultáneas.</t>
        </is>
      </c>
      <c r="R11" s="8" t="inlineStr">
        <is>
          <t>3D-Dinámico</t>
        </is>
      </c>
      <c r="S11" s="8" t="inlineStr">
        <is>
          <t>Sí-Ambos</t>
        </is>
      </c>
      <c r="T11" s="10" t="inlineStr">
        <is>
          <t>Reducción del tiempo de operación y optimización de la velocidad de vuelo.</t>
        </is>
      </c>
      <c r="U11" s="10" t="inlineStr">
        <is>
          <t>Reducción del consumo de batería y optimización del número de sensores necesarios.</t>
        </is>
      </c>
      <c r="V11" s="10" t="inlineStr">
        <is>
          <t>Capacidad para volar sobre áreas extensas y maximizar el mapeo del terreno.</t>
        </is>
      </c>
      <c r="W11" s="10" t="inlineStr">
        <is>
          <t>Relevante en algoritmos de computación evolutiva para alcanzar la solución óptima tras varias generaciones.</t>
        </is>
      </c>
      <c r="X11" s="10" t="inlineStr">
        <is>
          <t>Se discute la reducción del costo computacional mediante el uso de IA frente a métodos tradicionales como la programación dinámica o algoritmos A*.</t>
        </is>
      </c>
      <c r="Y11" s="8" t="inlineStr">
        <is>
          <t>Solo Simulación</t>
        </is>
      </c>
      <c r="Z11" s="10" t="inlineStr">
        <is>
          <t>Microsoft AirSim, DroneKit (Python), PyParrot</t>
        </is>
      </c>
      <c r="AA11" s="8" t="inlineStr">
        <is>
          <t>Sí-Ambos</t>
        </is>
      </c>
      <c r="AB11" s="10" t="inlineStr">
        <is>
          <t>El estudio analiza una muestra de 39 artículos científicos.</t>
        </is>
      </c>
      <c r="AC11" s="10" t="inlineStr">
        <is>
          <t>Mayor tolerancia a fallos, reducción de costos operativos, capacidad de abstracción de datos y ejecución de tareas imposibles para un solo UAV.</t>
        </is>
      </c>
      <c r="AD11" s="10" t="inlineStr">
        <is>
          <t>Falta de estandarización en los resultados, dependencia de leyes de vuelo, necesidad de suavizar rutas y limitaciones físicas de la batería.</t>
        </is>
      </c>
      <c r="AE11" s="10" t="inlineStr">
        <is>
          <t>Algoritmos tradicionales de búsqueda (A*), programación dinámica y comparativa de tendencias entre RL y EC.</t>
        </is>
      </c>
      <c r="AF11" s="10" t="inlineStr">
        <is>
          <t>Clasificación detallada de enfoques de IA para enjambres de UAVs e identificación de tendencias de publicación y vacíos en la estandarización de resultados.</t>
        </is>
      </c>
      <c r="AG11" s="10" t="inlineStr">
        <is>
          <t>Exploración de Redes Neuronales de Grafos (GNN), combinación de técnicas de RL y EC, y mejoras en la navegación con menos sensores.</t>
        </is>
      </c>
      <c r="AH11" s="8" t="inlineStr">
        <is>
          <t>Alta</t>
        </is>
      </c>
      <c r="AI11" s="8" t="inlineStr">
        <is>
          <t>Multiple</t>
        </is>
      </c>
      <c r="AJ11" s="10" t="inlineStr">
        <is>
          <t>@article{puentecastro2021, author = {Puente-Castro, A. and Rivero, D. and Pazos, A. and Fernandez-Blanco, E.}, title = {A review of artificial intelligence applied to path planning in UAV swarms}, journal = {Neural Computing and Applications}, year = {2022}, volume = {34}, pages = {153--170}, doi = {10.1007/s00521-021-06569-4} }</t>
        </is>
      </c>
      <c r="AK11" s="10" t="inlineStr">
        <is>
          <t>Unmanned aerial vehicle, UAV, Swarm intelligence, Path planning.</t>
        </is>
      </c>
      <c r="AL11" s="10" t="inlineStr">
        <is>
          <t>El artículo analiza el estado actual de los sistemas basados en IA para el control de enjambres de UAVs. El uso de enjambres permite acelerar tiempos de vuelo y reducir costos. La revisión clasifica los trabajos en cuatro grupos técnicos y realiza un estudio cuantitativo que muestra un aumento en las publicaciones y un cambio hacia el predominio de ciertas técnicas sobre otras.</t>
        </is>
      </c>
      <c r="AM11" s="10" t="inlineStr">
        <is>
          <t>Fig. 1 (Neurona artificial), Fig. 2 (Publicaciones por año), Fig. 3 (Publicaciones por técnica), Fig. 7 (Entornos de vuelo).</t>
        </is>
      </c>
      <c r="AN11" s="10" t="inlineStr">
        <is>
          <t>Los enjambres de UAVs representan una revolución industrial y recreativa por su bajo costo y facilidad de operación.</t>
        </is>
      </c>
      <c r="AO11" s="10" t="inlineStr">
        <is>
          <t>La revisión se realizó en dos pasos: resumen de artículos encontrados y análisis cuantitativo basado en factores como la evolución temporal.</t>
        </is>
      </c>
      <c r="AP11" s="10" t="inlineStr">
        <is>
          <t>Los resultados muestran que el Aprendizaje por Refuerzo (RL) y la Computación Evolutiva (EC) son las técnicas más utilizadas.</t>
        </is>
      </c>
      <c r="AQ11" s="10" t="inlineStr">
        <is>
          <t>Existe una falta de estandarización en los métodos de evaluación, lo que dificulta comparar la eficiencia entre diferentes propuestas.</t>
        </is>
      </c>
      <c r="AR11" s="8" t="inlineStr">
        <is>
          <t>Analizado</t>
        </is>
      </c>
      <c r="AS11" s="9" t="n">
        <v>46029</v>
      </c>
      <c r="AT11" s="10" t="inlineStr">
        <is>
          <t>El artículo destaca que el campo está en sus primeras etapas ("early stages") pero con un crecimiento acelerado.</t>
        </is>
      </c>
      <c r="AU11" s="10" t="inlineStr">
        <is>
          <t>Los autores declaran no tener conflictos de interés.</t>
        </is>
      </c>
      <c r="AV11" s="10" t="n"/>
      <c r="AW11" s="10" t="n"/>
      <c r="AX11" s="10" t="n"/>
      <c r="AY11" s="10" t="n"/>
      <c r="AZ11" s="10" t="n"/>
      <c r="BA11" s="10" t="n"/>
      <c r="BB11" s="10" t="n"/>
      <c r="BC11" s="10" t="n"/>
      <c r="BD11" s="10" t="n"/>
      <c r="BE11" s="10" t="n"/>
      <c r="BF11" s="10" t="n"/>
      <c r="BG11" s="10" t="n"/>
      <c r="BH11" s="10" t="n"/>
      <c r="BI11" s="10" t="n"/>
      <c r="BJ11" s="10" t="n"/>
      <c r="BK11" s="10" t="n"/>
      <c r="BL11" s="10" t="n"/>
      <c r="BM11" s="10" t="n"/>
      <c r="BN11" s="10" t="n"/>
      <c r="BO11" s="10" t="n"/>
      <c r="BP11" s="10" t="n"/>
      <c r="BQ11" s="10" t="n"/>
      <c r="BR11" s="10" t="n"/>
      <c r="BS11" s="10" t="n"/>
      <c r="BT11" s="10" t="n"/>
      <c r="BU11" s="10" t="n"/>
      <c r="BV11" s="10" t="n"/>
      <c r="BW11" s="10" t="n"/>
      <c r="BX11" s="10" t="n"/>
      <c r="BY11" s="10" t="n"/>
      <c r="BZ11" s="10" t="n"/>
      <c r="CA11" s="10" t="n"/>
      <c r="CB11" s="10" t="n"/>
      <c r="CC11" s="10" t="n"/>
      <c r="CD11" s="10" t="n"/>
      <c r="CE11" s="10" t="n"/>
      <c r="CF11" s="10" t="n"/>
      <c r="CG11" s="10" t="n"/>
    </row>
    <row r="12" ht="189" customHeight="1">
      <c r="A12" s="8" t="inlineStr">
        <is>
          <t>PAPER_011</t>
        </is>
      </c>
      <c r="B12" s="10" t="inlineStr">
        <is>
          <t>Path Planning for Multiple Targets Interception by the Swarm of UAVs based on Swarm Intelligence Algorithms: A Review</t>
        </is>
      </c>
      <c r="C12" s="10" t="inlineStr">
        <is>
          <t>Abhishek Sharma, Shraga Shoval, Abhinav Sharma, Jitendra Kumar Pandey</t>
        </is>
      </c>
      <c r="D12" s="8" t="n">
        <v>2021</v>
      </c>
      <c r="E12" s="8" t="inlineStr">
        <is>
          <t>IETE Technical Review</t>
        </is>
      </c>
      <c r="F12" s="8" t="inlineStr">
        <is>
          <t>Review</t>
        </is>
      </c>
      <c r="G12" s="10" t="inlineStr">
        <is>
          <t>No mencionado explícitamente</t>
        </is>
      </c>
      <c r="H12" s="8" t="inlineStr">
        <is>
          <t>10.1080/02564602.2021.1894250</t>
        </is>
      </c>
      <c r="I12" s="5" t="inlineStr">
        <is>
          <t>https://doi.org/10.1080/02564602.2021.1894250</t>
        </is>
      </c>
      <c r="J12" s="8" t="inlineStr">
        <is>
          <t>Otro</t>
        </is>
      </c>
      <c r="K12" s="10" t="inlineStr">
        <is>
          <t>Registra 102 vistas; referencia 132 fuentes bibliográficas (no especifica citas externas)</t>
        </is>
      </c>
      <c r="L12" s="8" t="inlineStr">
        <is>
          <t>Otro</t>
        </is>
      </c>
      <c r="M12" s="10" t="inlineStr">
        <is>
          <t>Revisa PSO (Particle Swarm Optimization), ACO (Ant Colony Optimization), ABC (Artificial Bee Colony), BA (Bat-inspired Algorithm), FA (Firefly Algorithm), BFOA (Bacterial Foraging Optimization Algorithm), PIOA (Pigeon-Inspired Optimization), GSOA (Glowworm Swarm Optimization)</t>
        </is>
      </c>
      <c r="N12" s="10" t="inlineStr">
        <is>
          <t>Analiza múltiples variantes como MTWPS (Modified Two-Part Wolf Pack Search), FLGA (Fuzzy Logic Genetic Algorithm), CABC (Compact Artificial Bee Colony), PPIOA (Predator-Prey Pigeon-Inspired Optimization) entre otros</t>
        </is>
      </c>
      <c r="O12" s="8" t="inlineStr">
        <is>
          <t>Otro</t>
        </is>
      </c>
      <c r="P12" s="10" t="inlineStr">
        <is>
          <t>Intercepción de múltiples objetivos móviles por enjambre de UAVs para proteger infraestructuras estratégicas</t>
        </is>
      </c>
      <c r="Q12" s="10" t="inlineStr">
        <is>
          <t>Enjambre de UAVs (grupo altamente escalable y redundante); simulaciones citadas mencionan desde grupos pequeños hasta 25 objetivos</t>
        </is>
      </c>
      <c r="R12" s="8" t="inlineStr">
        <is>
          <t>3D-Dinámico</t>
        </is>
      </c>
      <c r="S12" s="10" t="inlineStr">
        <is>
          <t>Múltiples obstáculos dinámicos, terrenos montañosos, zonas de amenaza (radares)</t>
        </is>
      </c>
      <c r="T12" s="10" t="inlineStr">
        <is>
          <t>Tiempo total de misión, tiempo de interceptación, tiempo de cómputo del algoritmo</t>
        </is>
      </c>
      <c r="U12" s="10" t="inlineStr">
        <is>
          <t>Consumo de combustible (Fuel cost)</t>
        </is>
      </c>
      <c r="V12" s="10" t="inlineStr">
        <is>
          <t>Probabilidad de existencia del objetivo y búsqueda en áreas restringidas</t>
        </is>
      </c>
      <c r="W12" s="10" t="inlineStr">
        <is>
          <t>Velocidad de convergencia y capacidad para evitar mínimos locales</t>
        </is>
      </c>
      <c r="X12" s="10" t="inlineStr">
        <is>
          <t>Evaluada en función del número de robots (N) y objetivos (T); destaca que PSO tiene baja complejidad comparado con ACO o BFO</t>
        </is>
      </c>
      <c r="Y12" s="8" t="inlineStr">
        <is>
          <t>Revisión Teórica</t>
        </is>
      </c>
      <c r="Z12" s="10" t="inlineStr">
        <is>
          <t>Menciona diversos entornos usados en literatura como MATLAB, modelos basados en grafos MAKLINK y Octomap</t>
        </is>
      </c>
      <c r="AA12" s="8" t="inlineStr">
        <is>
          <t>No</t>
        </is>
      </c>
      <c r="AB12" s="10" t="inlineStr">
        <is>
          <t>No aplica por ser artículo de revisión</t>
        </is>
      </c>
      <c r="AC12" s="10" t="inlineStr">
        <is>
          <t>Enjambres ofrecen escalabilidad, flexibilidad y robustez ante fallos de unidades individuales</t>
        </is>
      </c>
      <c r="AD12" s="10" t="inlineStr">
        <is>
          <t>Riesgo de quedar atrapados en mínimos locales (PSO), complejidad en ajuste de parámetros (ACO, BA), lentitud de convergencia en problemas de alta dimensión (ABC, BFO)</t>
        </is>
      </c>
      <c r="AE12" s="10" t="inlineStr">
        <is>
          <t>Algoritmos clásicos como A*, Mapas de Carreteras Probabilísticos (PRM), Campos Potenciales Artificiales (APF)</t>
        </is>
      </c>
      <c r="AF12" s="10" t="inlineStr">
        <is>
          <t>Provee revisión exhaustiva centrada específicamente en intercepción de objetivos móviles, evaluando críticamente técnicas de modelado de entorno, asignación de tareas y funciones de costo</t>
        </is>
      </c>
      <c r="AG12" s="10" t="inlineStr">
        <is>
          <t>Explorar algoritmos híbridos que superen limitaciones de métodos actuales y mejoren optimización de trayectorias</t>
        </is>
      </c>
      <c r="AH12" s="8" t="inlineStr">
        <is>
          <t>Alta</t>
        </is>
      </c>
      <c r="AI12" s="8" t="inlineStr">
        <is>
          <t>Multiple</t>
        </is>
      </c>
      <c r="AJ12" s="10" t="inlineStr">
        <is>
          <t>Datos disponibles para construcción manual (Sharma et al., 2021)</t>
        </is>
      </c>
      <c r="AK12" s="10" t="inlineStr">
        <is>
          <t>ABC; ACO; BA; 3D path planning; PSO; SI; UAV</t>
        </is>
      </c>
      <c r="AL12" s="10" t="inlineStr">
        <is>
          <t>Aborda desafío de interceptar múltiples amenazas móviles mediante enjambres de UAVs, enfocándose en asignación de tareas y planificación de rutas 3D utilizando algoritmos de Inteligencia de Enjambre (SI)</t>
        </is>
      </c>
      <c r="AM12" s="10" t="inlineStr">
        <is>
          <t>10 figuras representando proceso general de planificación (Fig 1), modelos de comportamiento de cada algoritmo (Fig 2-9), estadísticas de publicación (Fig 10)</t>
        </is>
      </c>
      <c r="AN12" s="10" t="inlineStr">
        <is>
          <t>Artículo se enfoca en intercepción de objetivos móviles como problema crítico para infraestructuras estratégicas</t>
        </is>
      </c>
      <c r="AO12" s="10" t="inlineStr">
        <is>
          <t>Revisa técnicas de modelado 3D como MAKLINK, Octomap y funciones de fitness para intercepción</t>
        </is>
      </c>
      <c r="AP12" s="10" t="inlineStr">
        <is>
          <t>Compara complejidad computacional y rendimiento de algoritmos SI para problemas de alta dimensionalidad</t>
        </is>
      </c>
      <c r="AQ12" s="10" t="inlineStr">
        <is>
          <t>Concluye que algoritmos híbridos podrían superar limitaciones actuales y ser enfoque futuro prometedor</t>
        </is>
      </c>
      <c r="AR12" s="8" t="inlineStr">
        <is>
          <t>Analizado</t>
        </is>
      </c>
      <c r="AS12" s="7" t="n">
        <v>46033</v>
      </c>
      <c r="AT12" s="10" t="inlineStr">
        <is>
          <t>Revisión sistemática que clasifica algoritmos por tipo y ofrece comparación crítica útil para seleccionar método adecuado</t>
        </is>
      </c>
      <c r="AU12" s="10" t="inlineStr">
        <is>
          <t>No se especifican conflictos de interés en información proporcionada</t>
        </is>
      </c>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0" t="n"/>
      <c r="BR12" s="10" t="n"/>
      <c r="BS12" s="10" t="n"/>
      <c r="BT12" s="10" t="n"/>
      <c r="BU12" s="10" t="n"/>
      <c r="BV12" s="10" t="n"/>
      <c r="BW12" s="10" t="n"/>
      <c r="BX12" s="10" t="n"/>
      <c r="BY12" s="10" t="n"/>
      <c r="BZ12" s="10" t="n"/>
      <c r="CA12" s="10" t="n"/>
      <c r="CB12" s="10" t="n"/>
      <c r="CC12" s="10" t="n"/>
      <c r="CD12" s="10" t="n"/>
      <c r="CE12" s="10" t="n"/>
      <c r="CF12" s="10" t="n"/>
      <c r="CG12" s="10" t="n"/>
    </row>
    <row r="13" ht="110.25" customHeight="1">
      <c r="A13" s="8" t="inlineStr">
        <is>
          <t>PAPER_012</t>
        </is>
      </c>
      <c r="B13" s="10" t="inlineStr">
        <is>
          <t>A Novel Sparrow Particle Swarm Algorithm (SPSA) for Unmanned Aerial Vehicle Path Planning</t>
        </is>
      </c>
      <c r="C13" s="10" t="inlineStr">
        <is>
          <t>Wangwang Yu, Jun Liu, Jie Zhou</t>
        </is>
      </c>
      <c r="D13" s="8" t="n">
        <v>2021</v>
      </c>
      <c r="E13" s="8" t="inlineStr">
        <is>
          <t>Scientific Programming (Volumen 2021)</t>
        </is>
      </c>
      <c r="F13" s="8" t="inlineStr">
        <is>
          <t>Journal</t>
        </is>
      </c>
      <c r="G13" s="10" t="inlineStr">
        <is>
          <t>Fuentes no mencionan factor de impacto específico</t>
        </is>
      </c>
      <c r="H13" s="4" t="inlineStr">
        <is>
          <t>https://doi.org/10.1155/2021/5158304</t>
        </is>
      </c>
      <c r="I13" s="5" t="inlineStr">
        <is>
          <t>https://onlinelibrary.wiley.com/doi/10.1155/2021/5158304</t>
        </is>
      </c>
      <c r="J13" s="8" t="inlineStr">
        <is>
          <t>Otro</t>
        </is>
      </c>
      <c r="K13" s="10" t="inlineStr">
        <is>
          <t>No especifica número de citas; incluye 35 referencias bibliográficas</t>
        </is>
      </c>
      <c r="L13" s="8" t="inlineStr">
        <is>
          <t>Otro</t>
        </is>
      </c>
      <c r="M13" s="10" t="inlineStr">
        <is>
          <t>Particle Swarm Optimization (PSO)</t>
        </is>
      </c>
      <c r="N13" s="10" t="inlineStr">
        <is>
          <t>Sparrow Particle Swarm Algorithm (SPSA)</t>
        </is>
      </c>
      <c r="O13" s="8" t="inlineStr">
        <is>
          <t>Otro</t>
        </is>
      </c>
      <c r="P13" s="10" t="inlineStr">
        <is>
          <t>Navegación de Vehículos Aéreos No Tripulados (UAV) en entornos 3D complejos</t>
        </is>
      </c>
      <c r="Q13" s="10" t="inlineStr">
        <is>
          <t>Centrado en planificación de un solo UAV para alcanzar punto objetivo desde punto de inicio</t>
        </is>
      </c>
      <c r="R13" s="8" t="inlineStr">
        <is>
          <t>3D-Dinámico</t>
        </is>
      </c>
      <c r="S13" s="10" t="inlineStr">
        <is>
          <t>Edificios cuadrados (modelados como obstáculos cuadrados) y edificios cilíndricos (modelados como cilindros)</t>
        </is>
      </c>
      <c r="T13" s="10" t="inlineStr">
        <is>
          <t>Reducir tiempo de cálculo mediante simplificación del modelo ambiental y mejora de eficiencia de búsqueda</t>
        </is>
      </c>
      <c r="U13" s="10" t="inlineStr">
        <is>
          <t>Calculada como suma de energía de trayectoria, energía de giro y energía de ascenso/descenso (E=E_path + E_turning + E_climb)</t>
        </is>
      </c>
      <c r="V13" s="10" t="inlineStr">
        <is>
          <t>No mencionada como métrica principal; enfoque en tasa de éxito de puntos objetivo alcanzados</t>
        </is>
      </c>
      <c r="W13" s="10" t="inlineStr">
        <is>
          <t>Velocidad de convergencia y valor de aptitud (fitness value) tras 1000 iteraciones</t>
        </is>
      </c>
      <c r="X13" s="10" t="inlineStr">
        <is>
          <t>O(N×D×A×B+M×N×D), donde N es número de individuos, D la dimensión y M máximo de iteraciones</t>
        </is>
      </c>
      <c r="Y13" s="8" t="inlineStr">
        <is>
          <t>Simulación+Experimentos</t>
        </is>
      </c>
      <c r="Z13" s="10" t="inlineStr">
        <is>
          <t>Software MATLAB 2020b ejecutado en CPU Intel Xeon E5-2450H con 32G de RAM y GPU GTX 1050 Ti</t>
        </is>
      </c>
      <c r="AA13" s="8" t="inlineStr">
        <is>
          <t>No</t>
        </is>
      </c>
      <c r="AB13" s="10" t="inlineStr">
        <is>
          <t>30 ejecuciones por cada uno de los 6 algoritmos comparados en 3 entornos distintos</t>
        </is>
      </c>
      <c r="AC13" s="10" t="inlineStr">
        <is>
          <t>Buena velocidad de convergencia, capacidad para evitar óptimos locales, reducción de oscilaciones en trayectoria, bajo consumo energético</t>
        </is>
      </c>
      <c r="AD13" s="10" t="inlineStr">
        <is>
          <t>Presencia de muchos obstáculos puede estancar búsqueda tradicional; SPSA aborda con estrategias de "escape", pero requiere optimización de oscilación adaptativa para no perder ruta óptima</t>
        </is>
      </c>
      <c r="AE13" s="10" t="inlineStr">
        <is>
          <t>CSO (Chicken Swarm Optimization), DE (Differential Evolution), GWO (Grey Wolf Optimizer), PSO y SSA tradicional</t>
        </is>
      </c>
      <c r="AF13" s="10" t="inlineStr">
        <is>
          <t>Introducción de método de inicialización de ruta basado en geometría, actualización de posición de productores influenciada por línea inicio-fin, búsqueda de escape de velocidad variable y suavizado mediante interpolación de splines cúbicos</t>
        </is>
      </c>
      <c r="AG13" s="10" t="inlineStr">
        <is>
          <t>No hay sección específica, se concluye que algoritmo es apto para entornos de vuelo reales por su suavidad y eficiencia</t>
        </is>
      </c>
      <c r="AH13" s="8" t="inlineStr">
        <is>
          <t>Alta</t>
        </is>
      </c>
      <c r="AI13" s="8" t="inlineStr">
        <is>
          <t>Multiple</t>
        </is>
      </c>
      <c r="AJ13" s="10" t="inlineStr">
        <is>
          <t>No proporcionada explícitamente; datos permiten construir (Autores: Yu et al., 2021, Scientific Programming)</t>
        </is>
      </c>
      <c r="AK13" s="10" t="inlineStr">
        <is>
          <t>UAV, path planning, sparrow search algorithm, particle swarm algorithm</t>
        </is>
      </c>
      <c r="AL13" s="10" t="inlineStr">
        <is>
          <t>Propone SPSA para mejorar planificación de rutas de UAVs, enfrentando problemas de convergencia prematura. Algoritmo mejora inicialización, búsqueda cerca de línea de meta y utiliza escapes adaptativos en zonas de estancamiento, optimizando trayectoria con splines cúbicos para mayor suavidad</t>
        </is>
      </c>
      <c r="AM13" s="10" t="inlineStr">
        <is>
          <t>Figura 1 (Modelado ambiental), Figura 2 (Esquema de selección de ruta), Figura 5 (Flujograma del SPSA), Figuras 7-9 (Comparación de trayectorias)</t>
        </is>
      </c>
      <c r="AN13" s="10" t="inlineStr">
        <is>
          <t>UAVs se ven afectados por edificios, clima y consumo de energía en entornos 3D complejos</t>
        </is>
      </c>
      <c r="AO13" s="10" t="inlineStr">
        <is>
          <t>Se propone inicialización de ruta que evita diferencias excesivas entre nodos adyacentes para mejorar convergencia</t>
        </is>
      </c>
      <c r="AP13" s="10" t="inlineStr">
        <is>
          <t>SPSA presenta desviación estándar significativamente menor (0.89 a 5.84) comparado con otros algoritmos, indicando alta robustez</t>
        </is>
      </c>
      <c r="AQ13" s="10" t="inlineStr">
        <is>
          <t>Algoritmo híbrido SPSA tiene mejor capacidad de búsqueda en entornos complejos y trayectorias más suaves aptas para vuelo real</t>
        </is>
      </c>
      <c r="AR13" s="8" t="inlineStr">
        <is>
          <t>Analizado</t>
        </is>
      </c>
      <c r="AS13" s="7" t="n">
        <v>46033</v>
      </c>
      <c r="AT13" s="10" t="inlineStr">
        <is>
          <t>Algoritmo destaca por enfoque biónico híbrido, tomando exploración del SSA e influencia global del PSO</t>
        </is>
      </c>
      <c r="AU13" s="10" t="inlineStr">
        <is>
          <t>Autores declaran no tener conflictos de interés</t>
        </is>
      </c>
      <c r="AV13" s="10" t="n"/>
      <c r="AW13" s="10" t="n"/>
      <c r="AX13" s="10" t="n"/>
      <c r="AY13" s="10" t="n"/>
      <c r="AZ13" s="10" t="n"/>
      <c r="BA13" s="10" t="n"/>
      <c r="BB13" s="10" t="n"/>
      <c r="BC13" s="10" t="n"/>
      <c r="BD13" s="10" t="n"/>
      <c r="BE13" s="10" t="n"/>
      <c r="BF13" s="10" t="n"/>
      <c r="BG13" s="10" t="n"/>
      <c r="BH13" s="10" t="n"/>
      <c r="BI13" s="10" t="n"/>
      <c r="BJ13" s="10" t="n"/>
      <c r="BK13" s="10" t="n"/>
      <c r="BL13" s="10" t="n"/>
      <c r="BM13" s="10" t="n"/>
      <c r="BN13" s="10" t="n"/>
      <c r="BO13" s="10" t="n"/>
      <c r="BP13" s="10" t="n"/>
      <c r="BQ13" s="10" t="n"/>
      <c r="BR13" s="10" t="n"/>
      <c r="BS13" s="10" t="n"/>
      <c r="BT13" s="10" t="n"/>
      <c r="BU13" s="10" t="n"/>
      <c r="BV13" s="10" t="n"/>
      <c r="BW13" s="10" t="n"/>
      <c r="BX13" s="10" t="n"/>
      <c r="BY13" s="10" t="n"/>
      <c r="BZ13" s="10" t="n"/>
      <c r="CA13" s="10" t="n"/>
      <c r="CB13" s="10" t="n"/>
      <c r="CC13" s="10" t="n"/>
      <c r="CD13" s="10" t="n"/>
      <c r="CE13" s="10" t="n"/>
      <c r="CF13" s="10" t="n"/>
      <c r="CG13" s="10" t="n"/>
    </row>
    <row r="14" ht="141.75" customHeight="1">
      <c r="A14" s="8" t="inlineStr">
        <is>
          <t>PAPER_013</t>
        </is>
      </c>
      <c r="B14" s="10" t="inlineStr">
        <is>
          <t>Chaos Particle Swarm Optimization Enhancement Algorithm for UAV Safe Path Planning</t>
        </is>
      </c>
      <c r="C14" s="10" t="inlineStr">
        <is>
          <t>Hongyue Chu, Junkai Yi, Fei Yang</t>
        </is>
      </c>
      <c r="D14" s="8" t="n">
        <v>2022</v>
      </c>
      <c r="E14" s="8" t="inlineStr">
        <is>
          <t>Applied Sciences (MDPI)</t>
        </is>
      </c>
      <c r="F14" s="8" t="inlineStr">
        <is>
          <t>Journal</t>
        </is>
      </c>
      <c r="G14" s="10" t="inlineStr">
        <is>
          <t>Fuentes no mencionan explícitamente factor de impacto actual</t>
        </is>
      </c>
      <c r="H14" s="8" t="inlineStr">
        <is>
          <t>10.3390/app12188977</t>
        </is>
      </c>
      <c r="I14" s="5" t="inlineStr">
        <is>
          <t>https://doi.org/10.3390/app12188977</t>
        </is>
      </c>
      <c r="J14" s="8" t="inlineStr">
        <is>
          <t>Otro</t>
        </is>
      </c>
      <c r="K14" s="10" t="inlineStr">
        <is>
          <t>No especifica número de citas recibidas</t>
        </is>
      </c>
      <c r="L14" s="8" t="inlineStr">
        <is>
          <t>PSO</t>
        </is>
      </c>
      <c r="M14" s="10" t="inlineStr">
        <is>
          <t>Teoría del Caos (mapas logísticos) y Pesos de Inercia Dinámicos No Lineales (INDIW)</t>
        </is>
      </c>
      <c r="N14" s="10" t="inlineStr">
        <is>
          <t>Algoritmo IC-VAINDIWPSO (Improved Chaotic-VAINDIWPSO)</t>
        </is>
      </c>
      <c r="O14" s="8" t="inlineStr">
        <is>
          <t>Otro</t>
        </is>
      </c>
      <c r="P14" s="10" t="inlineStr">
        <is>
          <t>Navegación autónoma en entornos tridimensionales (3D) con múltiples amenazas y restricciones de terreno</t>
        </is>
      </c>
      <c r="Q14" s="10" t="inlineStr">
        <is>
          <t>Pruebas centradas en trayectoria de un UAV individual entre punto de inicio y objetivo</t>
        </is>
      </c>
      <c r="R14" s="8" t="inlineStr">
        <is>
          <t>3D-Dinámico</t>
        </is>
      </c>
      <c r="S14" s="10" t="inlineStr">
        <is>
          <t>Amenazas representadas como cilindros, divididas en zonas de colisión y zonas de peligro</t>
        </is>
      </c>
      <c r="T14" s="10" t="inlineStr">
        <is>
          <t>Evalúa tiempo de inicialización (reducido 86.35% frente a PSO) y tiempo de ejecución por iteración</t>
        </is>
      </c>
      <c r="U14" s="10" t="inlineStr">
        <is>
          <t>No medida directamente, optimizada mediante longitud total de trayectoria (Costo F1)</t>
        </is>
      </c>
      <c r="V14" s="10" t="inlineStr">
        <is>
          <t>No aplica, es tarea de navegación punto a punto</t>
        </is>
      </c>
      <c r="W14" s="10" t="inlineStr">
        <is>
          <t>Velocidad de convergencia medida en iteraciones; IC-VAINDIWPSO converge aproximadamente en 20 a 25 iteraciones</t>
        </is>
      </c>
      <c r="X14" s="10" t="inlineStr">
        <is>
          <t>No definida en términos de O-notación; validada mediante eficiencia en tiempo real y reducción de iteraciones necesarias para óptimo</t>
        </is>
      </c>
      <c r="Y14" s="8" t="inlineStr">
        <is>
          <t>Simulación+Experimentos</t>
        </is>
      </c>
      <c r="Z14" s="10" t="inlineStr">
        <is>
          <t>Servidor con CPU de 2.1 GHz, 16.00 GB de RAM, sistema operativo de 64 bits</t>
        </is>
      </c>
      <c r="AA14" s="8" t="inlineStr">
        <is>
          <t>No</t>
        </is>
      </c>
      <c r="AB14" s="10" t="inlineStr">
        <is>
          <t>Poblaciones iniciales de 500 a 1000 partículas y mapa de elevación digital de Isla de Navidad</t>
        </is>
      </c>
      <c r="AC14" s="10" t="inlineStr">
        <is>
          <t>Rápida velocidad de convergencia, trayectorias más suaves, menor tiempo de inicialización, alta capacidad para escapar de óptimos locales</t>
        </is>
      </c>
      <c r="AD14" s="10" t="inlineStr">
        <is>
          <t>Experimento realizado solo en entornos estáticos sin considerar obstáculos dinámicos ni efectos meteorológicos complejos</t>
        </is>
      </c>
      <c r="AE14" s="10" t="inlineStr">
        <is>
          <t>PSO estándar, VAINDIWPSO, QPSO (Quantum-behaved PSO), Algoritmos Genéticos (GA), ABC (Artificial Bee Colony)</t>
        </is>
      </c>
      <c r="AF14" s="10" t="inlineStr">
        <is>
          <t>Integración de ajuste adaptativo de velocidad, inicialización caótica y mapas logísticos mejorados con pesos de inercia no lineales para optimizar rutas 3D</t>
        </is>
      </c>
      <c r="AG14" s="10" t="inlineStr">
        <is>
          <t>Investigar planificación en entornos con obstáculos dinámicos y considerar más restricciones físicas del UAV</t>
        </is>
      </c>
      <c r="AH14" s="8" t="inlineStr">
        <is>
          <t>Alta</t>
        </is>
      </c>
      <c r="AI14" s="8" t="inlineStr">
        <is>
          <t>Multiple</t>
        </is>
      </c>
      <c r="AJ14" s="10" t="inlineStr">
        <is>
          <t>No incluido; metadatos disponibles (Chu, Yi, Yang, 2022, Applied Sciences, vol. 12, issue 18)</t>
        </is>
      </c>
      <c r="AK14" s="10" t="inlineStr">
        <is>
          <t>UAV, path planning, improve particle swarm optimization, improved nonlinear dynamic inertia weights, chaos theory, adaptive adjustment of velocity</t>
        </is>
      </c>
      <c r="AL14" s="10" t="inlineStr">
        <is>
          <t>Propone algoritmo IC-VAINDIWPSO para planificación de rutas 3D en UAVs. Introduce pesos de inercia dinámicos no lineales y perturbación de velocidad para mejorar convergencia. Suma inicialización caótica y mapas logísticos, logra soluciones casi óptimas, reduciendo tiempo de inicialización y produciendo rutas más suaves en entornos con múltiples amenazas</t>
        </is>
      </c>
      <c r="AM14" s="10" t="inlineStr">
        <is>
          <t>Figura 1 (Modelo de amenaza), Figura 2 (Ángulos de giro y trepada), Figura 3 (Entorno 3D), Figura 7 (Gráfica de convergencia), Figuras 10 y 12 (Resultados del IC-VAINDIWPSO)</t>
        </is>
      </c>
      <c r="AN14" s="10" t="inlineStr">
        <is>
          <t>La planificación de rutas seguras para UAV es de gran magnitud para la tasa de finalización y eficiencia de las tareas</t>
        </is>
      </c>
      <c r="AO14" s="10" t="inlineStr">
        <is>
          <t>Se introdujeron pesos de inercia dinámicos no lineales mejorados (INDIW) en el algoritmo PSO</t>
        </is>
      </c>
      <c r="AP14" s="10" t="inlineStr">
        <is>
          <t>El algoritmo IC-VAINDIWPSO mejora sustancialmente la velocidad de convergencia y reduce el valor de la función de aptitud</t>
        </is>
      </c>
      <c r="AQ14" s="10" t="inlineStr">
        <is>
          <t>El algoritmo IC-VAINDIWPSO puede alcanzar soluciones casi óptimas en la mayoría de los escenarios</t>
        </is>
      </c>
      <c r="AR14" s="8" t="inlineStr">
        <is>
          <t>Analizado</t>
        </is>
      </c>
      <c r="AS14" s="7" t="n">
        <v>46033</v>
      </c>
      <c r="AT14" s="10" t="inlineStr">
        <is>
          <t>Uso de teoría del caos permite que partículas exploren espacio de solución de manera más uniforme, evitando estancamiento común del PSO tradicional</t>
        </is>
      </c>
      <c r="AU14" s="10" t="inlineStr">
        <is>
          <t>Autores declaran no tener conflictos de interés</t>
        </is>
      </c>
      <c r="AV14" s="10" t="n"/>
      <c r="AW14" s="10" t="n"/>
      <c r="AX14" s="10" t="n"/>
      <c r="AY14" s="10" t="n"/>
      <c r="AZ14" s="10" t="n"/>
      <c r="BA14" s="10" t="n"/>
      <c r="BB14" s="10" t="n"/>
      <c r="BC14" s="10" t="n"/>
      <c r="BD14" s="10" t="n"/>
      <c r="BE14" s="10" t="n"/>
      <c r="BF14" s="10" t="n"/>
      <c r="BG14" s="10" t="n"/>
      <c r="BH14" s="10" t="n"/>
      <c r="BI14" s="10" t="n"/>
      <c r="BJ14" s="10" t="n"/>
      <c r="BK14" s="10" t="n"/>
      <c r="BL14" s="10" t="n"/>
      <c r="BM14" s="10" t="n"/>
      <c r="BN14" s="10" t="n"/>
      <c r="BO14" s="10" t="n"/>
      <c r="BP14" s="10" t="n"/>
      <c r="BQ14" s="10" t="n"/>
      <c r="BR14" s="10" t="n"/>
      <c r="BS14" s="10" t="n"/>
      <c r="BT14" s="10" t="n"/>
      <c r="BU14" s="10" t="n"/>
      <c r="BV14" s="10" t="n"/>
      <c r="BW14" s="10" t="n"/>
      <c r="BX14" s="10" t="n"/>
      <c r="BY14" s="10" t="n"/>
      <c r="BZ14" s="10" t="n"/>
      <c r="CA14" s="10" t="n"/>
      <c r="CB14" s="10" t="n"/>
      <c r="CC14" s="10" t="n"/>
      <c r="CD14" s="10" t="n"/>
      <c r="CE14" s="10" t="n"/>
      <c r="CF14" s="10" t="n"/>
      <c r="CG14" s="10" t="n"/>
    </row>
    <row r="15" ht="409.5" customHeight="1">
      <c r="A15" s="8" t="inlineStr">
        <is>
          <t>PAPER_014</t>
        </is>
      </c>
      <c r="B15" s="10" t="inlineStr">
        <is>
          <t>Coverage Path Planning Methods Focusing on Energy Efficient and Cooperative Strategies for Unmanned Aerial Vehicles</t>
        </is>
      </c>
      <c r="C15" s="10" t="inlineStr">
        <is>
          <t>Georgios Fevgas, Thomas Lagkas, Vasileios Argyriou, Panagiotis Sarigiannidis</t>
        </is>
      </c>
      <c r="D15" s="8" t="n">
        <v>2022</v>
      </c>
      <c r="E15" s="8" t="inlineStr">
        <is>
          <t>Sensors (MDPI)</t>
        </is>
      </c>
      <c r="F15" s="8" t="inlineStr">
        <is>
          <t>Review</t>
        </is>
      </c>
      <c r="G15" s="10" t="inlineStr">
        <is>
          <t>No especificado</t>
        </is>
      </c>
      <c r="H15" s="8" t="inlineStr">
        <is>
          <t>10.3390/s22031235</t>
        </is>
      </c>
      <c r="I15" s="5" t="inlineStr">
        <is>
          <t>https://doi.org/10.3390/s22031235</t>
        </is>
      </c>
      <c r="J15" s="8" t="inlineStr">
        <is>
          <t>IEEE Xplore</t>
        </is>
      </c>
      <c r="K15" s="10" t="inlineStr">
        <is>
          <t>Analiza 128 publicaciones clasificadas, con 88 incluidas en versión refinada</t>
        </is>
      </c>
      <c r="L15" s="8" t="inlineStr">
        <is>
          <t>Otro</t>
        </is>
      </c>
      <c r="M15" s="10" t="inlineStr">
        <is>
          <t>Descomposición celular (exacta y aproximada), búsqueda en grafos, redes neuronales, algoritmos bio-inspirados (ACO)</t>
        </is>
      </c>
      <c r="N15" s="10" t="inlineStr">
        <is>
          <t>Boustrophedon, Morse-based, Wavefront, Spanning Tree Coverage (STC), Spiral-STC</t>
        </is>
      </c>
      <c r="O15" s="8" t="inlineStr">
        <is>
          <t>Búsqueda-Rescate</t>
        </is>
      </c>
      <c r="P15" s="10" t="inlineStr">
        <is>
          <t>Agricultura de precisión, búsqueda y rescate, extinción de incendios, inspección de líneas eléctricas, gestión de desastres, vigilancia</t>
        </is>
      </c>
      <c r="Q15" s="10" t="inlineStr">
        <is>
          <t>UAV único y múltiples UAVs (flotas homogéneas y heterogéneas)</t>
        </is>
      </c>
      <c r="R15" s="8" t="inlineStr">
        <is>
          <t>3D-Dinámico</t>
        </is>
      </c>
      <c r="S15" s="10" t="inlineStr">
        <is>
          <t>Obstáculos fijos, cóncavos, convexos, zonas de exclusión aérea (no-flight zones), edificios</t>
        </is>
      </c>
      <c r="T15" s="10" t="inlineStr">
        <is>
          <t>Minimización del tiempo de ejecución, latencia de comunicación, tiempo de finalización de misión</t>
        </is>
      </c>
      <c r="U15" s="10" t="inlineStr">
        <is>
          <t>Consumo de batería, explotación de energía del viento, reducción de giros, optimización de velocidad</t>
        </is>
      </c>
      <c r="V15" s="10" t="inlineStr">
        <is>
          <t>Maximización del área cubierta y minimización del solapamiento (overlapping)</t>
        </is>
      </c>
      <c r="W15" s="10" t="inlineStr">
        <is>
          <t>No especificado (mencionado en contexto de optimización con algoritmos genéticos)</t>
        </is>
      </c>
      <c r="X15" s="10" t="inlineStr">
        <is>
          <t>Algoritmos offline requieren menos potencia de CPU que los online</t>
        </is>
      </c>
      <c r="Y15" s="8" t="inlineStr">
        <is>
          <t>Simulación+Experimentos</t>
        </is>
      </c>
      <c r="Z15" s="10" t="inlineStr">
        <is>
          <t>No especificado (menciona simulaciones generales en trabajos citados)</t>
        </is>
      </c>
      <c r="AA15" s="8" t="inlineStr">
        <is>
          <t>No</t>
        </is>
      </c>
      <c r="AB15" s="10" t="inlineStr">
        <is>
          <t>170 artículos filtrados inicialmente, 128 clasificados por relevancia</t>
        </is>
      </c>
      <c r="AC15" s="10" t="inlineStr">
        <is>
          <t>Reducción de complejidad en áreas irregulares, división de carga en multi-UAV, ganancia energética mediante viento</t>
        </is>
      </c>
      <c r="AD15" s="10" t="inlineStr">
        <is>
          <t>Afectación aerodinámica por viento, dificultades de comunicación en flotas, restricciones de batería</t>
        </is>
      </c>
      <c r="AE15" s="10" t="inlineStr">
        <is>
          <t>Cabreira et al., Galceran y Carreras, Almandhoun et al., Chen et al.</t>
        </is>
      </c>
      <c r="AF15" s="10" t="inlineStr">
        <is>
          <t>Revisión integral que une métodos de descomposición, estrategias multi-robot y comparativas de ahorro energético bajo restricciones ambientales</t>
        </is>
      </c>
      <c r="AG15" s="10" t="inlineStr">
        <is>
          <t>Estimación de viento estocástico online, integración de Machine Learning/Deep Learning y sensores IoT</t>
        </is>
      </c>
      <c r="AH15" s="8" t="inlineStr">
        <is>
          <t>Alta</t>
        </is>
      </c>
      <c r="AI15" s="8" t="inlineStr">
        <is>
          <t>Multiple</t>
        </is>
      </c>
      <c r="AJ15" s="10" t="inlineStr">
        <is>
          <t>No especificado</t>
        </is>
      </c>
      <c r="AK15" s="10" t="inlineStr">
        <is>
          <t>coverage path planning; unmanned aerial vehicle; cell decomposition; decomposition methods; energy-aware approaches; energy optimal path; multi-robot systems; multi-UAV</t>
        </is>
      </c>
      <c r="AL15" s="10" t="inlineStr">
        <is>
          <t>Revisa métodos de CPP para minimizar solapamiento y tiempo, enfocándose en estrategias cooperativas multi-UAV y algoritmos de eficiencia energética para futuras investigaciones</t>
        </is>
      </c>
      <c r="AM15" s="10" t="inlineStr">
        <is>
          <t>Boustrophedon (1), Square (2), Trapezoidal (3), Boustrophedon decomp. (4), Morse (5), Slice (6), Grid-based (7), Wavefront (8), Spanning Tree (9), Neural Network (10)</t>
        </is>
      </c>
      <c r="AN15" s="10" t="inlineStr">
        <is>
          <t>Analiza desarrollo tecnológico de UAVs y aplicaciones críticas en tiempo y espacio</t>
        </is>
      </c>
      <c r="AO15" s="10" t="inlineStr">
        <is>
          <t>Detalla revisión sistemática en bases digitales usando palabras clave específicas</t>
        </is>
      </c>
      <c r="AP15" s="10" t="inlineStr">
        <is>
          <t>Discute efectividad de descomposición celular e impacto de factores ambientales como el viento</t>
        </is>
      </c>
      <c r="AQ15" s="10" t="inlineStr">
        <is>
          <t>Enfatiza necesidad de combinar IA e IoT para maximizar ahorro energético en misiones dinámicas</t>
        </is>
      </c>
      <c r="AR15" s="8" t="inlineStr">
        <is>
          <t>Analizado</t>
        </is>
      </c>
      <c r="AS15" s="7" t="n">
        <v>46033</v>
      </c>
      <c r="AT15" s="10" t="inlineStr">
        <is>
          <t xml:space="preserve">La planificación de trayectorias de cobertura (CPP) para UAVs tiene como objetivo principal cubrir un área de interés completa minimizando el solapamiento y el tiempo de misión. Estos métodos se dividen en offline, que utilizan conocimiento previo del entorno para ahorrar recursos de procesamiento, y online, que dependen de sensores a bordo para adaptarse a entornos desconocidos en tiempo real. La investigación destaca que la eficiencia energética es un factor crítico, lográndose mediante la reducción del número de giros y la explotación de la dirección del viento, donde volar de forma perpendicular a este optimiza el consumo de batería. </t>
        </is>
      </c>
      <c r="AU15" s="10" t="inlineStr">
        <is>
          <t>Autores declaran que no existen conflictos de interés</t>
        </is>
      </c>
      <c r="AV15" s="10" t="n"/>
      <c r="AW15" s="10" t="n"/>
      <c r="AX15" s="10" t="n"/>
      <c r="AY15" s="10" t="n"/>
      <c r="AZ15" s="10" t="n"/>
      <c r="BA15" s="10" t="n"/>
      <c r="BB15" s="10" t="n"/>
      <c r="BC15" s="10" t="n"/>
      <c r="BD15" s="10" t="n"/>
      <c r="BE15" s="10" t="n"/>
      <c r="BF15" s="10" t="n"/>
      <c r="BG15" s="10" t="n"/>
      <c r="BH15" s="10" t="n"/>
      <c r="BI15" s="10" t="n"/>
      <c r="BJ15" s="10" t="n"/>
      <c r="BK15" s="10" t="n"/>
      <c r="BL15" s="10" t="n"/>
      <c r="BM15" s="10" t="n"/>
      <c r="BN15" s="10" t="n"/>
      <c r="BO15" s="10" t="n"/>
      <c r="BP15" s="10" t="n"/>
      <c r="BQ15" s="10" t="n"/>
      <c r="BR15" s="10" t="n"/>
      <c r="BS15" s="10" t="n"/>
      <c r="BT15" s="10" t="n"/>
      <c r="BU15" s="10" t="n"/>
      <c r="BV15" s="10" t="n"/>
      <c r="BW15" s="10" t="n"/>
      <c r="BX15" s="10" t="n"/>
      <c r="BY15" s="10" t="n"/>
      <c r="BZ15" s="10" t="n"/>
      <c r="CA15" s="10" t="n"/>
      <c r="CB15" s="10" t="n"/>
      <c r="CC15" s="10" t="n"/>
      <c r="CD15" s="10" t="n"/>
      <c r="CE15" s="10" t="n"/>
      <c r="CF15" s="10" t="n"/>
      <c r="CG15" s="10" t="n"/>
    </row>
    <row r="16" ht="141.75" customHeight="1">
      <c r="A16" s="8" t="inlineStr">
        <is>
          <t>PAPER_015</t>
        </is>
      </c>
      <c r="B16" s="10" t="inlineStr">
        <is>
          <t>Optimization Methods Applied to Motion Planning of Unmanned Aerial Vehicles: A Review</t>
        </is>
      </c>
      <c r="C16" s="10" t="inlineStr">
        <is>
          <t>Amber Israr, Zain Anwar Ali, Eman H. Alkhammash, Jari Juhani Jussila</t>
        </is>
      </c>
      <c r="D16" s="8" t="n">
        <v>2022</v>
      </c>
      <c r="E16" s="8" t="inlineStr">
        <is>
          <t>Drones (MDPI)</t>
        </is>
      </c>
      <c r="F16" s="8" t="inlineStr">
        <is>
          <t>Review</t>
        </is>
      </c>
      <c r="G16" s="10" t="inlineStr">
        <is>
          <t>No mencionado (información externa: ~5.532 en 2022)</t>
        </is>
      </c>
      <c r="H16" s="8" t="inlineStr">
        <is>
          <t>10.3390/drones6050126</t>
        </is>
      </c>
      <c r="I16" s="5" t="inlineStr">
        <is>
          <t>https://doi.org/10.3390/drones6050126</t>
        </is>
      </c>
      <c r="J16" s="8" t="inlineStr">
        <is>
          <t>Otro</t>
        </is>
      </c>
      <c r="K16" s="10" t="inlineStr">
        <is>
          <t>Incluye 88 referencias bibliográficas</t>
        </is>
      </c>
      <c r="L16" s="8" t="inlineStr">
        <is>
          <t>Otro</t>
        </is>
      </c>
      <c r="M16" s="10" t="inlineStr">
        <is>
          <t>Algoritmos físicos y geográficos</t>
        </is>
      </c>
      <c r="N16" s="10" t="inlineStr">
        <is>
          <t>Algoritmos basados en enjambres (swarm-based) y basados en evolución (evolution-based)</t>
        </is>
      </c>
      <c r="O16" s="8" t="inlineStr">
        <is>
          <t>Búsqueda-Rescate</t>
        </is>
      </c>
      <c r="P16" s="10" t="inlineStr">
        <is>
          <t>Evitación de colisiones, control de formación, vigilancia militar, búsqueda y rescate, entrega de paquetes civiles</t>
        </is>
      </c>
      <c r="Q16" s="10" t="inlineStr">
        <is>
          <t>Analiza UAVs individuales y múltiples (enjambres/cooperativos)</t>
        </is>
      </c>
      <c r="R16" s="8" t="inlineStr">
        <is>
          <t>3D-Dinámico</t>
        </is>
      </c>
      <c r="S16" s="10" t="inlineStr">
        <is>
          <t>Obstáculos estáticos, dinámicos, densos tipo U, amenazas (radares, misiles)</t>
        </is>
      </c>
      <c r="T16" s="10" t="inlineStr">
        <is>
          <t>Reducción de tiempo de ejecución, tiempo de búsqueda, tiempo de convergencia</t>
        </is>
      </c>
      <c r="U16" s="10" t="inlineStr">
        <is>
          <t>Reducción de consumo de energía, eficiencia energética</t>
        </is>
      </c>
      <c r="V16" s="10" t="inlineStr">
        <is>
          <t>Eficiencia en escaneo de estructuras complejas y operaciones marítimas</t>
        </is>
      </c>
      <c r="W16" s="10" t="inlineStr">
        <is>
          <t>Mejora en tasa de convergencia y minimización de error de convergencia</t>
        </is>
      </c>
      <c r="X16" s="10" t="inlineStr">
        <is>
          <t>Discutida como limitación en varios algoritmos por tamaño de población o inversión de matrices</t>
        </is>
      </c>
      <c r="Y16" s="8" t="inlineStr">
        <is>
          <t>Revisión Teórica</t>
        </is>
      </c>
      <c r="Z16" s="10" t="inlineStr">
        <is>
          <t>Uso de simuladores de código abierto, entornos 3D continuos, simulación hardware-in-the-loop (HIL)</t>
        </is>
      </c>
      <c r="AA16" s="8" t="inlineStr">
        <is>
          <t>No</t>
        </is>
      </c>
      <c r="AB16" s="10" t="inlineStr">
        <is>
          <t>Técnicas como aprendizaje reforzado requieren grandes conjuntos de datos para entrenamiento offline; no especifica dataset propio por ser review</t>
        </is>
      </c>
      <c r="AC16" s="10" t="inlineStr">
        <is>
          <t>Robustez, flexibilidad, adaptabilidad a entornos desconocidos, reducción de costos operativos</t>
        </is>
      </c>
      <c r="AD16" s="10" t="inlineStr">
        <is>
          <t>Convergencia prematura, estancamiento en óptimos locales, alta complejidad computacional, dependencia de conexión con estaciones terrestres</t>
        </is>
      </c>
      <c r="AE16" s="10" t="inlineStr">
        <is>
          <t>Compara PSO, GA, ACO, DE y algoritmos híbridos</t>
        </is>
      </c>
      <c r="AF16" s="10" t="inlineStr">
        <is>
          <t>Evaluación de desafíos enfrentados por UAVs, resumen de técnicas prometedoras, recopilación de limitaciones de literatura reciente</t>
        </is>
      </c>
      <c r="AG16" s="10" t="inlineStr">
        <is>
          <t>Modelar enfoques de optimización inteligentes con mayor precisión y algoritmos más factibles para estrategias de planificación en 3D</t>
        </is>
      </c>
      <c r="AH16" s="8" t="inlineStr">
        <is>
          <t>Alta</t>
        </is>
      </c>
      <c r="AI16" s="8" t="inlineStr">
        <is>
          <t>Multiple</t>
        </is>
      </c>
      <c r="AJ16" s="10" t="inlineStr">
        <is>
          <t>@article{israr2022optimization, title={Optimization Methods Applied to Motion Planning of Unmanned Aerial Vehicles: A Review}, author={Israr, Amber and Ali, Zain Anwar and Alkhammash, Eman H and Jussila, Jari Juhani}, journal={Drones}, volume={6}, number={5}, pages={126}, year={2022}, publisher={MDPI}}</t>
        </is>
      </c>
      <c r="AK16" s="10" t="inlineStr">
        <is>
          <t>Unmanned aerial vehicle; motion planning; optimization techniques</t>
        </is>
      </c>
      <c r="AL16" s="10" t="inlineStr">
        <is>
          <t>Destaca importancia de UAVs en sectores militares y civiles, subrayando que planificación de movimiento con protocolos de evitación de colisiones es vital para robustez y convergencia del sistema. Analiza diversos artículos académicos centrados en algoritmos bio-inspirados para ayudar a investigadores a comprender estado del arte y limitaciones actuales</t>
        </is>
      </c>
      <c r="AM16" s="10" t="inlineStr">
        <is>
          <t>Figura 1 (Desafíos en UAVs), Figura 2 (Ejemplo de optimización combinatoria), Figura 3 (Planificación basada en muestreo), Figura 4 (Clasificación de algoritmos de optimización)</t>
        </is>
      </c>
      <c r="AN16" s="10" t="inlineStr">
        <is>
          <t>Los UAVs son robots voladores altamente atractivos y aplicables para fines militares y civiles</t>
        </is>
      </c>
      <c r="AO16" s="10" t="inlineStr">
        <is>
          <t>Este review se basa en estudios de investigación y publicaciones de autores reputados en el campo de técnicas de planificación de movimiento... en los últimos tres años</t>
        </is>
      </c>
      <c r="AP16" s="10" t="inlineStr">
        <is>
          <t>Al analizar manuscrito, se puede concluir que mejores enfoques de optimización son los basados en enjambres por su capacidad excepcional para resolver problemas complejos</t>
        </is>
      </c>
      <c r="AQ16" s="10" t="inlineStr">
        <is>
          <t>Capacidad autónoma de estas máquinas también está avanzando y actualizándose para proporcionar vuelo eficiente y formación estable en entornos dinámicos</t>
        </is>
      </c>
      <c r="AR16" s="8" t="inlineStr">
        <is>
          <t>Analizado</t>
        </is>
      </c>
      <c r="AS16" s="7" t="n">
        <v>46033</v>
      </c>
      <c r="AT16" s="10" t="inlineStr">
        <is>
          <t>Documento es guía taxonómica excelente para clasificar algoritmos en biológicos, físicos y geográficos</t>
        </is>
      </c>
      <c r="AU16" s="10" t="inlineStr">
        <is>
          <t>Se menciona que GA tiene caminos más suaves que Bi-RRT pero puede tener convergencia prematura</t>
        </is>
      </c>
      <c r="AV16" s="10" t="n"/>
      <c r="AW16" s="10" t="n"/>
      <c r="AX16" s="10" t="n"/>
      <c r="AY16" s="10" t="n"/>
      <c r="AZ16" s="10" t="n"/>
      <c r="BA16" s="10" t="n"/>
      <c r="BB16" s="10" t="n"/>
      <c r="BC16" s="10" t="n"/>
      <c r="BD16" s="10" t="n"/>
      <c r="BE16" s="10" t="n"/>
      <c r="BF16" s="10" t="n"/>
      <c r="BG16" s="10" t="n"/>
      <c r="BH16" s="10" t="n"/>
      <c r="BI16" s="10" t="n"/>
      <c r="BJ16" s="10" t="n"/>
      <c r="BK16" s="10" t="n"/>
      <c r="BL16" s="10" t="n"/>
      <c r="BM16" s="10" t="n"/>
      <c r="BN16" s="10" t="n"/>
      <c r="BO16" s="10" t="n"/>
      <c r="BP16" s="10" t="n"/>
      <c r="BQ16" s="10" t="n"/>
      <c r="BR16" s="10" t="n"/>
      <c r="BS16" s="10" t="n"/>
      <c r="BT16" s="10" t="n"/>
      <c r="BU16" s="10" t="n"/>
      <c r="BV16" s="10" t="n"/>
      <c r="BW16" s="10" t="n"/>
      <c r="BX16" s="10" t="n"/>
      <c r="BY16" s="10" t="n"/>
      <c r="BZ16" s="10" t="n"/>
      <c r="CA16" s="10" t="n"/>
      <c r="CB16" s="10" t="n"/>
      <c r="CC16" s="10" t="n"/>
      <c r="CD16" s="10" t="n"/>
      <c r="CE16" s="10" t="n"/>
      <c r="CF16" s="10" t="n"/>
      <c r="CG16" s="10" t="n"/>
    </row>
    <row r="17" ht="141.75" customHeight="1">
      <c r="A17" s="8" t="inlineStr">
        <is>
          <t>PAPER_016</t>
        </is>
      </c>
      <c r="B17" s="10" t="inlineStr">
        <is>
          <t>A Novel UAV Path Planning Algorithm Based on Double-Dynamic Biogeography-Based Learning Particle Swarm Optimization</t>
        </is>
      </c>
      <c r="C17" s="10" t="inlineStr">
        <is>
          <t>Yisheng Ji, Xinchao Zhao, Junling Hao</t>
        </is>
      </c>
      <c r="D17" s="8" t="n">
        <v>2022</v>
      </c>
      <c r="E17" s="8" t="inlineStr">
        <is>
          <t>Mobile Information Systems (Hindawi)</t>
        </is>
      </c>
      <c r="F17" s="8" t="inlineStr">
        <is>
          <t>Journal</t>
        </is>
      </c>
      <c r="G17" s="10" t="inlineStr">
        <is>
          <t>No mencionado (información externa: factor varía anualmente, consultar JCR)</t>
        </is>
      </c>
      <c r="H17" s="8" t="inlineStr">
        <is>
          <t>10.1155/2022/8519708</t>
        </is>
      </c>
      <c r="I17" s="5" t="inlineStr">
        <is>
          <t>https://doi.org/10.1155/2022/8519708</t>
        </is>
      </c>
      <c r="J17" s="8" t="inlineStr">
        <is>
          <t>Otro</t>
        </is>
      </c>
      <c r="K17" s="10" t="inlineStr">
        <is>
          <t>Referencia 25 trabajos previos; número de citas específico no especificado</t>
        </is>
      </c>
      <c r="L17" s="8" t="inlineStr">
        <is>
          <t>PSO</t>
        </is>
      </c>
      <c r="M17" s="10" t="inlineStr">
        <is>
          <t>Basado en PSO (Particle Swarm Optimization) y BBO (Biogeography-Based Optimization); inspirado en CLPSO y BLPSO</t>
        </is>
      </c>
      <c r="N17" s="10" t="inlineStr">
        <is>
          <t>Estrategia de aprendizaje doble-dinámico que reemplaza mecanismo tradicional de aprendizaje de mejores partículas personales y globales; cada partícula aprende de la mejor entre dos partículas seleccionadas no peores que ella misma</t>
        </is>
      </c>
      <c r="O17" s="8" t="inlineStr">
        <is>
          <t>Otro</t>
        </is>
      </c>
      <c r="P17" s="10" t="inlineStr">
        <is>
          <t>Navegación en entornos complejos con evitación de colisiones y optimización de trayectorias en terrenos realistas</t>
        </is>
      </c>
      <c r="Q17" s="10" t="inlineStr">
        <is>
          <t>Centrado en comportamiento de un solo UAV a través de diversos puntos de trayectoria (m puntos)</t>
        </is>
      </c>
      <c r="R17" s="8" t="inlineStr">
        <is>
          <t>3D-Dinámico</t>
        </is>
      </c>
      <c r="S17" s="10" t="inlineStr">
        <is>
          <t>Terrenos montañosos, edificios (altos, bajos, gigantes), suelo, zonas de peligro (áreas detectadas por radares)</t>
        </is>
      </c>
      <c r="T17" s="10" t="inlineStr">
        <is>
          <t>Evaluado mediante eficiencia y velocidad de convergencia del algoritmo en comparación con otros métodos</t>
        </is>
      </c>
      <c r="U17" s="10" t="inlineStr">
        <is>
          <t>No medida directamente en julios; optimizada mediante minimización de longitud total de ruta (f_length), reduciendo consumo de combustible/energía</t>
        </is>
      </c>
      <c r="V17" s="10" t="inlineStr">
        <is>
          <t>No es enfoque principal; objetivo es encontrar ruta óptima entre punto inicial y final</t>
        </is>
      </c>
      <c r="W17" s="10" t="inlineStr">
        <is>
          <t>Alta tasa de convergencia y precisión, especialmente en problemas de gran escala</t>
        </is>
      </c>
      <c r="X17" s="10" t="inlineStr">
        <is>
          <t>Transformación de optimización multiobjetivo restringida a objetivo único no restringida para simplificar problema y mejorar eficiencia</t>
        </is>
      </c>
      <c r="Y17" s="8" t="inlineStr">
        <is>
          <t>Solo Simulación</t>
        </is>
      </c>
      <c r="Z17" s="10" t="inlineStr">
        <is>
          <t>Realizado en MATLAB 2017b</t>
        </is>
      </c>
      <c r="AA17" s="8" t="inlineStr">
        <is>
          <t>No</t>
        </is>
      </c>
      <c r="AB17" s="10" t="inlineStr">
        <is>
          <t>Conjunto de funciones de referencia CEC2015 y modelos de terreno generados matemáticamente</t>
        </is>
      </c>
      <c r="AC17" s="10" t="inlineStr">
        <is>
          <t>Capacidad para escapar de óptimos locales, mayor tasa de convergencia, superioridad en problemas de gran escala frente a algoritmos relevantes</t>
        </is>
      </c>
      <c r="AD17" s="10" t="inlineStr">
        <is>
          <t>Rendimiento menos destacado en ciertas funciones multimodales y de composición comparado con competidores; desviación estándar (Std) relativamente grande en algunos casos de planificación de rutas, sugiriendo margen de mejora</t>
        </is>
      </c>
      <c r="AE17" s="10" t="inlineStr">
        <is>
          <t>PSO, BBO, CLPSO, BLSPSO, PBSPSO, DEBBO</t>
        </is>
      </c>
      <c r="AF17" s="10" t="inlineStr">
        <is>
          <t>Diseño de estrategia de aprendizaje doble-dinámica basada en biogeografía; propuesta de seis funciones de terreno (ciudad, aldeas, áreas montañosas con/sin casas) para simulaciones de UAV</t>
        </is>
      </c>
      <c r="AG17" s="10" t="inlineStr">
        <is>
          <t>Aplicación en exploración petrolera, aprendizaje profundo, extensión a problemas de optimización multiobjetivo o con restricciones más complejas</t>
        </is>
      </c>
      <c r="AH17" s="8" t="inlineStr">
        <is>
          <t>Alta</t>
        </is>
      </c>
      <c r="AI17" s="8" t="inlineStr">
        <is>
          <t>Multiple</t>
        </is>
      </c>
      <c r="AJ17" s="10" t="inlineStr">
        <is>
          <t>@article{ji2022novel, title={A Novel UAV Path Planning Algorithm Based on Double-Dynamic Biogeography-Based Learning Particle Swarm Optimization}, author={Ji, Yisheng and Zhao, Xinchao and Hao, Junling}, journal={Mobile Information Systems}, volume={2022}, year={2022}, publisher={Hindawi}}</t>
        </is>
      </c>
      <c r="AK17" s="10" t="inlineStr">
        <is>
          <t>UAV path planning, Particle swarm optimization, Biogeography-based learning, Double-dynamic strategy</t>
        </is>
      </c>
      <c r="AL17" s="10" t="inlineStr">
        <is>
          <t>Propone algoritmo DDBLPSO para mejorar convergencia y precisión en planificación de rutas de UAV. Utiliza estrategia donde partículas aprenden de sujetos no peores que ellas mismas, validando éxito en seis tipos de terrenos realistas y funciones benchmark</t>
        </is>
      </c>
      <c r="AM17" s="10" t="inlineStr">
        <is>
          <t>Figura 1 (Relación entre probabilidades de aprendizaje y selección), Figuras 2 y 3 (Curvas de convergencia de funciones benchmark), Figuras 4 y 5 (Curvas de convergencia en funciones de terreno)</t>
        </is>
      </c>
      <c r="AN17" s="10" t="inlineStr">
        <is>
          <t>UAV path planning is designed in a space which represents environment experienced by UAV during its flight</t>
        </is>
      </c>
      <c r="AO17" s="10" t="inlineStr">
        <is>
          <t>DDBLPSO adopts double-dynamic biogeography-based learning strategy. Under this strategy, particle only learns from itself or other even better individuals</t>
        </is>
      </c>
      <c r="AP17" s="10" t="inlineStr">
        <is>
          <t>DDBLPSO shows its dominance over other competitors on unimodal functions and hybrid functions... this means that DDBLPSO has much greater convergence rate</t>
        </is>
      </c>
      <c r="AQ17" s="10" t="inlineStr">
        <is>
          <t>Computational experiments and simulations demonstrate the performance advantages of the algorithm both in global optimization and UAV path planning</t>
        </is>
      </c>
      <c r="AR17" s="8" t="inlineStr">
        <is>
          <t>Analizado</t>
        </is>
      </c>
      <c r="AS17" s="7" t="n">
        <v>46033</v>
      </c>
      <c r="AT17" s="10" t="inlineStr">
        <is>
          <t>Enfoque en seis terrenos distintos (ciudad, aldea, montaña) aporta valor práctico superior a estudios que solo usan terrenos montañosos genéricos</t>
        </is>
      </c>
      <c r="AU17" s="10" t="inlineStr">
        <is>
          <t>Documento declara que no existen conflictos de interés</t>
        </is>
      </c>
      <c r="AV17" s="10" t="n"/>
      <c r="AW17" s="10" t="n"/>
      <c r="AX17" s="10" t="n"/>
      <c r="AY17" s="10" t="n"/>
      <c r="AZ17" s="10" t="n"/>
      <c r="BA17" s="10" t="n"/>
      <c r="BB17" s="10" t="n"/>
      <c r="BC17" s="10" t="n"/>
      <c r="BD17" s="10" t="n"/>
      <c r="BE17" s="10" t="n"/>
      <c r="BF17" s="10" t="n"/>
      <c r="BG17" s="10" t="n"/>
      <c r="BH17" s="10" t="n"/>
      <c r="BI17" s="10" t="n"/>
      <c r="BJ17" s="10" t="n"/>
      <c r="BK17" s="10" t="n"/>
      <c r="BL17" s="10" t="n"/>
      <c r="BM17" s="10" t="n"/>
      <c r="BN17" s="10" t="n"/>
      <c r="BO17" s="10" t="n"/>
      <c r="BP17" s="10" t="n"/>
      <c r="BQ17" s="10" t="n"/>
      <c r="BR17" s="10" t="n"/>
      <c r="BS17" s="10" t="n"/>
      <c r="BT17" s="10" t="n"/>
      <c r="BU17" s="10" t="n"/>
      <c r="BV17" s="10" t="n"/>
      <c r="BW17" s="10" t="n"/>
      <c r="BX17" s="10" t="n"/>
      <c r="BY17" s="10" t="n"/>
      <c r="BZ17" s="10" t="n"/>
      <c r="CA17" s="10" t="n"/>
      <c r="CB17" s="10" t="n"/>
      <c r="CC17" s="10" t="n"/>
      <c r="CD17" s="10" t="n"/>
      <c r="CE17" s="10" t="n"/>
      <c r="CF17" s="10" t="n"/>
      <c r="CG17" s="10" t="n"/>
    </row>
    <row r="18" ht="220.5" customHeight="1">
      <c r="A18" s="8" t="inlineStr">
        <is>
          <t>PAPER_017</t>
        </is>
      </c>
      <c r="B18" s="10" t="inlineStr">
        <is>
          <t>UAV Path Planning Using Optimization Approaches: A Survey</t>
        </is>
      </c>
      <c r="C18" s="10" t="inlineStr">
        <is>
          <t>Amylia Ait Saadi; Assia Soukane; Yassine Meraihi; Asma Benmessaoud Gabis; Seyedali Mirjalili; Amar Ramdane-Cherif</t>
        </is>
      </c>
      <c r="D18" s="8" t="n">
        <v>2022</v>
      </c>
      <c r="E18" s="8" t="inlineStr">
        <is>
          <t>Archives of Computational Methods in Engineering</t>
        </is>
      </c>
      <c r="F18" s="8" t="inlineStr">
        <is>
          <t>Review</t>
        </is>
      </c>
      <c r="G18" s="10" t="inlineStr">
        <is>
          <t>No especificado en documento</t>
        </is>
      </c>
      <c r="H18" s="4" t="inlineStr">
        <is>
          <t>https://doi.org/10.1007/s11831-022-09742-7</t>
        </is>
      </c>
      <c r="I18" s="5" t="inlineStr">
        <is>
          <t>https://link.springer.com/article/10.1007/s11831-022-09742-7</t>
        </is>
      </c>
      <c r="J18" s="8" t="inlineStr">
        <is>
          <t>IEEE Xplore</t>
        </is>
      </c>
      <c r="K18" s="10" t="inlineStr">
        <is>
          <t>&gt;150 artículos (2000-2022)</t>
        </is>
      </c>
      <c r="L18" s="8" t="inlineStr">
        <is>
          <t>Otro</t>
        </is>
      </c>
      <c r="M18" s="10" t="inlineStr">
        <is>
          <t>Analiza subcategorías como , Algoritmos Genéticos (GA), Optimización por Enjambre de Partículas (PSO)*, entre otros.</t>
        </is>
      </c>
      <c r="N18" s="10" t="inlineStr">
        <is>
          <t>Examina variantes como , mDELC, GEDGWO y RLGWO*.</t>
        </is>
      </c>
      <c r="O18" s="8" t="inlineStr">
        <is>
          <t>Búsqueda-Rescate</t>
        </is>
      </c>
      <c r="P18" s="10" t="inlineStr">
        <is>
          <t>Seguridad y vigilancia, agricultura de precisión, meteorología, arqueología y rescate en desastres.</t>
        </is>
      </c>
      <c r="Q18" s="10" t="inlineStr">
        <is>
          <t>Aborda tanto casos de un solo UAV como de UAVs múltiples (Multi-UAVs) y sistemas cooperativos.</t>
        </is>
      </c>
      <c r="R18" s="8" t="inlineStr">
        <is>
          <t>3D-Dinámico</t>
        </is>
      </c>
      <c r="S18" s="10" t="inlineStr">
        <is>
          <t>Edificios, vehículos en movimiento, montañas, árboles, radares y amenazas de misiles.</t>
        </is>
      </c>
      <c r="T18" s="10" t="inlineStr">
        <is>
          <t>Eficiencia temporal (planning time) para generar la ruta completa.</t>
        </is>
      </c>
      <c r="U18" s="10" t="inlineStr">
        <is>
          <t>Consumo de energía (batería, combustible, celdas solares).</t>
        </is>
      </c>
      <c r="V18" s="10" t="inlineStr">
        <is>
          <t>Evaluada en misiones de búsqueda y rescate o recolección de datos.</t>
        </is>
      </c>
      <c r="W18" s="10" t="inlineStr">
        <is>
          <t>Velocidad de convergencia de los algoritmos para encontrar la solución óptima.</t>
        </is>
      </c>
      <c r="X18" s="10" t="inlineStr">
        <is>
          <t>Define el problema como NP-hard. Evalúa la complejidad temporal y de recursos de cada categoría (ej. APF tiene baja complejidad temporal).</t>
        </is>
      </c>
      <c r="Y18" s="8" t="inlineStr">
        <is>
          <t>Revisión Teórica</t>
        </is>
      </c>
      <c r="Z18" s="10" t="inlineStr">
        <is>
          <t>Menciona el uso de mapas de cuadrícula, entornos 3D complejos y simuladores para validar requerimientos.</t>
        </is>
      </c>
      <c r="AA18" s="8" t="inlineStr">
        <is>
          <t>No</t>
        </is>
      </c>
      <c r="AB18" s="10" t="inlineStr">
        <is>
          <t>Para aprendizaje supervisado, señala que se requieren grandes conjuntos de datos del entorno para proporcionar soluciones óptimas.</t>
        </is>
      </c>
      <c r="AC18" s="10" t="inlineStr">
        <is>
          <t>Los métodos clásicos son fáciles de implementar; las meta-heurísticas manejan bien múltiples objetivos; el aprendizaje automático es apto para cambios repentinos.</t>
        </is>
      </c>
      <c r="AD18" s="10" t="inlineStr">
        <is>
          <t>Los métodos clásicos pueden fallar en entornos dinámicos; las meta-heurísticas no siempre garantizan la solución óptima; el aprendizaje automático tiene un alto costo computacional.</t>
        </is>
      </c>
      <c r="AE18" s="10" t="inlineStr">
        <is>
          <t>Se compara con otros surveys previos (ej. Goerzen et al., Yang et al., Zhao et al.) analizando sus contribuciones y alcances.</t>
        </is>
      </c>
      <c r="AF18" s="10" t="inlineStr">
        <is>
          <t>Proporciona una clasificación exhaustiva en cinco familias de algoritmos y propone direcciones futuras basadas en un análisis crítico de más de 150 trabajos.</t>
        </is>
      </c>
      <c r="AG18" s="10" t="inlineStr">
        <is>
          <t>Incorporar Calidad de Servicio (QoS), selección de rutas múltiples, hibridación avanzada, implementación en paralelo y manejo de incertidumbre.</t>
        </is>
      </c>
      <c r="AH18" s="8" t="inlineStr">
        <is>
          <t>Alta</t>
        </is>
      </c>
      <c r="AI18" s="8" t="inlineStr">
        <is>
          <t>Multiple</t>
        </is>
      </c>
      <c r="AJ18" s="10" t="inlineStr">
        <is>
          <t>@article{aitsaadi2022, title={UAV Path Planning Using Optimization Approaches: A Survey}, author={Ait Saadi, Amylia and others}, journal={Archives of Computational Methods in Engineering}, volume={29}, pages={4233–4284}, year={2022}, publisher={Springer}}.</t>
        </is>
      </c>
      <c r="AK18" s="10" t="inlineStr">
        <is>
          <t>UAV path planning, Optimization approaches, Classical methods, Heuristics, Meta-heuristics, Machine learning, Hybrid algorithms.</t>
        </is>
      </c>
      <c r="AL18" s="10" t="inlineStr">
        <is>
          <t>Presenta una visión general de los enfoques de planificación de rutas para UAVs autónomos, clasificándolos en cinco categorías y analizando sus objetivos, restricciones y entornos para sugerir futuras líneas de investigación.</t>
        </is>
      </c>
      <c r="AM18" s="10" t="inlineStr">
        <is>
          <t>Fig. 5 (Clasificación de enfoques), Fig. 6 (Enfoques clásicos), Fig. 18 (Distribución de enfoques).</t>
        </is>
      </c>
      <c r="AN18" s="10" t="inlineStr">
        <is>
          <t>La planificación de rutas de los UAV es uno de los problemas más importantes en la navegación y el control de los mismos</t>
        </is>
      </c>
      <c r="AO18" s="10" t="inlineStr">
        <is>
          <t>En el proceso de revisión de la literatura sobre la planificación de rutas de UAV utilizando enfoques de optimización, adoptamos la metodología de revisión sistemática de la literatura</t>
        </is>
      </c>
      <c r="AP18" s="10" t="inlineStr">
        <is>
          <t>El algoritmo APF es el enfoque más aplicado gracias a su fácil implementación, rápida convergencia y baja complejidad temporal</t>
        </is>
      </c>
      <c r="AQ18" s="10" t="inlineStr">
        <is>
          <t>La planificación de rutas de UAV es un problema de investigación importante en el campo de la robótica aérea y la automatización que ha atraído un interés creciente de varios académicos e investigadores</t>
        </is>
      </c>
      <c r="AR18" s="8" t="inlineStr">
        <is>
          <t>Analizado</t>
        </is>
      </c>
      <c r="AS18" s="7" t="n">
        <v>46050</v>
      </c>
      <c r="AT18" s="10" t="inlineStr">
        <is>
          <t>El estudio revela una clara preferencia por las meta-heurísticas (34.3%) y los métodos clásicos (25.3%). Existe una tendencia creciente hacia la hibridación (14.5%) para combinar las ventajas de diferentes algoritmos, como la velocidad de los métodos clásicos con la inteligencia de las meta-heurísticas.</t>
        </is>
      </c>
      <c r="AU18" s="10" t="inlineStr">
        <is>
          <t>Las fuentes no mencionan el Factor de Impacto de la revista ni detallan el tamaño exacto de los conjuntos de datos (datasets) necesarios para los enfoques de aprendizaje automático, limitándose a señalar que requieren "grandes conjuntos de datos". Tampoco se especifica el costo de hardware de las plataformas de prueba mencionadas como el Parrot ARDrone.</t>
        </is>
      </c>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0" t="n"/>
      <c r="BR18" s="10" t="n"/>
      <c r="BS18" s="10" t="n"/>
      <c r="BT18" s="10" t="n"/>
      <c r="BU18" s="10" t="n"/>
      <c r="BV18" s="10" t="n"/>
      <c r="BW18" s="10" t="n"/>
      <c r="BX18" s="10" t="n"/>
      <c r="BY18" s="10" t="n"/>
      <c r="BZ18" s="10" t="n"/>
      <c r="CA18" s="10" t="n"/>
      <c r="CB18" s="10" t="n"/>
      <c r="CC18" s="10" t="n"/>
      <c r="CD18" s="10" t="n"/>
      <c r="CE18" s="10" t="n"/>
      <c r="CF18" s="10" t="n"/>
      <c r="CG18" s="10" t="n"/>
    </row>
    <row r="19" ht="157.5" customHeight="1">
      <c r="A19" s="8" t="inlineStr">
        <is>
          <t>PAPER_018</t>
        </is>
      </c>
      <c r="B19" s="10" t="inlineStr">
        <is>
          <t>Design an Optimal ANFIS Controller using Bee Colony Optimization for Trajectory Tracking of a Quadrotor UAV</t>
        </is>
      </c>
      <c r="C19" s="10" t="inlineStr">
        <is>
          <t>Boumediene Selma; Samira Chouraqui; Belkacem Selma; Hassane Abouaïssa</t>
        </is>
      </c>
      <c r="D19" s="8" t="n">
        <v>2022</v>
      </c>
      <c r="E19" s="10" t="inlineStr">
        <is>
          <t>Journal of The Institution of Engineers (India): Series B, 103(5):1505-1519</t>
        </is>
      </c>
      <c r="F19" s="8" t="inlineStr">
        <is>
          <t>Journal</t>
        </is>
      </c>
      <c r="G19" s="10" t="inlineStr">
        <is>
          <t>No especificado</t>
        </is>
      </c>
      <c r="H19" s="4" t="inlineStr">
        <is>
          <t>https://doi.org/10.1007/s40031-022-00747-1</t>
        </is>
      </c>
      <c r="I19" s="5" t="inlineStr">
        <is>
          <t>https://doi.org/10.1007/s40031-022-00747-1</t>
        </is>
      </c>
      <c r="J19" s="8" t="inlineStr">
        <is>
          <t>SpringerLink</t>
        </is>
      </c>
      <c r="K19" s="10" t="inlineStr">
        <is>
          <t>No reportado en documento</t>
        </is>
      </c>
      <c r="L19" s="8" t="inlineStr">
        <is>
          <t>ABC</t>
        </is>
      </c>
      <c r="M19" s="10" t="inlineStr">
        <is>
          <t>ANFIS (Adaptive Neuro-Fuzzy Inference System)</t>
        </is>
      </c>
      <c r="N19" s="10" t="inlineStr">
        <is>
          <t>ANFIS-BCO híbrido</t>
        </is>
      </c>
      <c r="O19" s="8" t="inlineStr">
        <is>
          <t>Otro</t>
        </is>
      </c>
      <c r="P19" s="10" t="inlineStr">
        <is>
          <t>Tracking de trayectoria en plano 2D vertical (3 grados de libertad: y, z, φ)</t>
        </is>
      </c>
      <c r="Q19" s="10" t="inlineStr">
        <is>
          <t>1 UAV</t>
        </is>
      </c>
      <c r="R19" s="8" t="inlineStr">
        <is>
          <t>3D-Dinámico</t>
        </is>
      </c>
      <c r="S19" s="10" t="inlineStr">
        <is>
          <t>Matlab/Simulink (sin obstáculos explícitos)</t>
        </is>
      </c>
      <c r="T19" s="10" t="inlineStr">
        <is>
          <t>No reportada explícitamente</t>
        </is>
      </c>
      <c r="U19" s="10" t="inlineStr">
        <is>
          <t>No reportada explícitamente</t>
        </is>
      </c>
      <c r="V19" s="10" t="inlineStr">
        <is>
          <t>No aplicable (el enfoque es seguimiento de trayectoria, no cobertura de área).</t>
        </is>
      </c>
      <c r="W19" s="10" t="inlineStr">
        <is>
          <t>El algoritmo BCO facilita la convergencia hacia los parámetros óptimos del ANFIS y los errores de trayectoria convergen a cero.</t>
        </is>
      </c>
      <c r="X19" s="10" t="inlineStr">
        <is>
          <t>Se describe una arquitectura de cinco capas para el ANFIS y un proceso de selección basado en probabilidad (ruleta) para el BCO, aunque no se cuantifica la complejidad temporal.</t>
        </is>
      </c>
      <c r="Y19" s="8" t="inlineStr">
        <is>
          <t>Solo Simulación</t>
        </is>
      </c>
      <c r="Z19" s="10" t="inlineStr">
        <is>
          <t>MATLAB/Simulink</t>
        </is>
      </c>
      <c r="AA19" s="8" t="inlineStr">
        <is>
          <t>No</t>
        </is>
      </c>
      <c r="AB19" s="10" t="inlineStr">
        <is>
          <t>Se utilizan trayectorias de referencia definidas por funciones senoidales: yd(t)=2sin(t), zd(t)=5sin(t)</t>
        </is>
      </c>
      <c r="AC19" s="10" t="inlineStr">
        <is>
          <t>Reducción drástica de error (MSE&lt;10⁻²⁹); convergencia rápida; supera significativamente PID y ANFIS estándar</t>
        </is>
      </c>
      <c r="AD19" s="10" t="inlineStr">
        <is>
          <t>Sistema limitado a 3DOF en plano 2D; sin validación en hardware real; modelo linealizado cerca del punto de hover</t>
        </is>
      </c>
      <c r="AE19" s="10" t="inlineStr">
        <is>
          <t>Controladores PID convencionales y controladores ANFIS sin optimización heurística.</t>
        </is>
      </c>
      <c r="AF19" s="10" t="inlineStr">
        <is>
          <t>Método híbrido ANFIS-BCO para optimización automática de funciones de membresía en controladores neuro-difusos para sistemas no lineales</t>
        </is>
      </c>
      <c r="AG19" s="10" t="inlineStr">
        <is>
          <t>No se especifica explícitamente en las fuentes proporcionadas, más allá de la eficiencia demostrada del algoritmo.</t>
        </is>
      </c>
      <c r="AH19" s="8" t="inlineStr">
        <is>
          <t>Alta</t>
        </is>
      </c>
      <c r="AI19" s="8" t="inlineStr">
        <is>
          <t>Multiple</t>
        </is>
      </c>
      <c r="AJ19" s="10" t="inlineStr">
        <is>
          <t>@article{Selma2022, author = {Selma, Boumediene and Chouraqui, Samira and Selma, Belkacem and Aboua{\"i}ssa, Hassane}, title = {Design an Optimal ANFIS Controller using Bee Colony Optimization for Trajectory Tracking of a Quadrotor UAV}, journal = {Journal of The Institution of Engineers (India): Series B}, year = {2022}, volume = {103}, number = {5}, pages = {1505--1519}, doi = {10.1007/s40031-022-00747-1}}</t>
        </is>
      </c>
      <c r="AK19" s="10" t="inlineStr">
        <is>
          <t>Unmanned aerial vehicle; Optimal control; Adaptive neuro-fuzzy inference system; Bee colony algorithm</t>
        </is>
      </c>
      <c r="AL19" s="10" t="inlineStr">
        <is>
          <t>Propone controlador híbrido ANFIS-BCO para tracking de trayectoria de quadrotor UAV 3DOF. BCO optimiza dinámicamente funciones de membresía del ANFIS reduciendo errores. Resultados: ANFIS-BCO supera significativamente PID (MSE=4.65×10⁻²) y ANFIS estándar (MSE=1.72×10⁻⁹) alcanzando MSE&lt;10⁻²⁹.</t>
        </is>
      </c>
      <c r="AM19" s="10" t="inlineStr">
        <is>
          <t>Fig. 1 (configuración quadrotor); Fig. 2 (arquitectura ANFIS); Fig. 3-26 (resultados simulación y errores de tracking)</t>
        </is>
      </c>
      <c r="AN19" s="10" t="inlineStr">
        <is>
          <t>El desarrollo de los UAV se ha convertido en una de las áreas de investigación más importantes en el campo del control aeronáutico autónomo.</t>
        </is>
      </c>
      <c r="AO19" s="10" t="inlineStr">
        <is>
          <t>El diseño del controlador busca los valores óptimos de los parámetros en el espacio de búsqueda que minimicen la función objetivo mediante BCO.</t>
        </is>
      </c>
      <c r="AP19" s="10" t="inlineStr">
        <is>
          <t>Los resultados demuestran que el controlador ANFIS-BCO logra un error cuadrático medio (MSE) extremadamente bajo, inferior a 10⁻²⁹  en algunas métricas.</t>
        </is>
      </c>
      <c r="AQ19" s="10" t="inlineStr">
        <is>
          <t>Se concluye que el algoritmo BCO es una técnica eficaz para la optimización y estabilización de controladores neuro-difusos.</t>
        </is>
      </c>
      <c r="AR19" s="8" t="inlineStr">
        <is>
          <t>Analizado</t>
        </is>
      </c>
      <c r="AS19" s="7" t="n">
        <v>46051</v>
      </c>
      <c r="AT19" s="10" t="inlineStr">
        <is>
          <t>Artículo metodológicamente sólido con resultados impresionantes en reducción de error; limitado a simulación 2D sin validación física; parámetros quadrotor: m=0.2kg, Ixx=0.1kg·m², g=9.81m/s²</t>
        </is>
      </c>
      <c r="AU19" s="10" t="inlineStr">
        <is>
          <t>No se mencionan pruebas en escenarios 3D completos ni la inclusión de perturbaciones externas como viento en las fuentes.</t>
        </is>
      </c>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0" t="n"/>
      <c r="BR19" s="10" t="n"/>
      <c r="BS19" s="10" t="n"/>
      <c r="BT19" s="10" t="n"/>
      <c r="BU19" s="10" t="n"/>
      <c r="BV19" s="10" t="n"/>
      <c r="BW19" s="10" t="n"/>
      <c r="BX19" s="10" t="n"/>
      <c r="BY19" s="10" t="n"/>
      <c r="BZ19" s="10" t="n"/>
      <c r="CA19" s="10" t="n"/>
      <c r="CB19" s="10" t="n"/>
      <c r="CC19" s="10" t="n"/>
      <c r="CD19" s="10" t="n"/>
      <c r="CE19" s="10" t="n"/>
      <c r="CF19" s="10" t="n"/>
      <c r="CG19" s="10" t="n"/>
    </row>
    <row r="20" ht="283.5" customHeight="1">
      <c r="A20" s="8" t="inlineStr">
        <is>
          <t>PAPER_019</t>
        </is>
      </c>
      <c r="B20" s="10" t="inlineStr">
        <is>
          <t>Convergence Analysis of Path Planning of Multi-UAVs Using Max-Min Ant Colony Optimization Approach.</t>
        </is>
      </c>
      <c r="C20" s="10" t="inlineStr">
        <is>
          <t>Muhammad Shafiq, Zain Anwar Ali, Amber Israr, Eman H. Alkhammash, Myriam Hadjouni y Jari Juhani Jussila.</t>
        </is>
      </c>
      <c r="D20" s="8" t="n">
        <v>2022</v>
      </c>
      <c r="E20" s="8" t="inlineStr">
        <is>
          <t>Sensors (MDPI)</t>
        </is>
      </c>
      <c r="F20" s="8" t="inlineStr">
        <is>
          <t>Journal</t>
        </is>
      </c>
      <c r="G20" s="10" t="inlineStr">
        <is>
          <t>No especificado</t>
        </is>
      </c>
      <c r="H20" s="4" t="inlineStr">
        <is>
          <t>https://doi.org/10.3390/s22145395</t>
        </is>
      </c>
      <c r="I20" s="5" t="inlineStr">
        <is>
          <t>https://www.mdpi.com/1424-8220/22/14/5395</t>
        </is>
      </c>
      <c r="J20" s="8" t="inlineStr">
        <is>
          <t>Otro</t>
        </is>
      </c>
      <c r="K20" s="10" t="inlineStr">
        <is>
          <t>50 referencias (citas recibidas no especificadas)</t>
        </is>
      </c>
      <c r="L20" s="8" t="inlineStr">
        <is>
          <t>ACO</t>
        </is>
      </c>
      <c r="M20" s="10" t="inlineStr">
        <is>
          <t>Evolución Diferencial (DE) y Mutación de Cauchy (CM)</t>
        </is>
      </c>
      <c r="N20" s="10" t="inlineStr">
        <is>
          <t>MMACO-DE / MMACO-CM</t>
        </is>
      </c>
      <c r="O20" s="8" t="inlineStr">
        <is>
          <t>Mapeo</t>
        </is>
      </c>
      <c r="P20" s="10" t="inlineStr">
        <is>
          <t>Rutas colectivas en entornos dinámicos con evasión de colisiones</t>
        </is>
      </c>
      <c r="Q20" s="10" t="inlineStr">
        <is>
          <t>Múltiples UAVs (2 en simulaciones)</t>
        </is>
      </c>
      <c r="R20" s="8" t="inlineStr">
        <is>
          <t>3D-Dinámico</t>
        </is>
      </c>
      <c r="S20" s="10" t="inlineStr">
        <is>
          <t>Montañas irregulares, tornados, obstáculos artificiales, amenazas naturales</t>
        </is>
      </c>
      <c r="T20" s="10" t="inlineStr">
        <is>
          <t>Tiempo de convergencia y reducción duración detección</t>
        </is>
      </c>
      <c r="U20" s="10" t="inlineStr">
        <is>
          <t>Indirecta: distancia recorrida y número de giros</t>
        </is>
      </c>
      <c r="V20" s="10" t="inlineStr">
        <is>
          <t>No es métrica principal (mencionada en trabajos relacionados)</t>
        </is>
      </c>
      <c r="W20" s="10" t="inlineStr">
        <is>
          <t>Velocidad de convergencia para evitar óptimos locales</t>
        </is>
      </c>
      <c r="X20" s="10" t="inlineStr">
        <is>
          <t>Reducción mediante subcolonias (solo "hormiga más apta" actualiza feromonas)</t>
        </is>
      </c>
      <c r="Y20" s="8" t="inlineStr">
        <is>
          <t>Solo Simulación</t>
        </is>
      </c>
      <c r="Z20" s="10" t="inlineStr">
        <is>
          <t>MATLAB 2021a (Intel i7-1165G7, 16GB RAM, Windows 11)</t>
        </is>
      </c>
      <c r="AA20" s="8" t="inlineStr">
        <is>
          <t>No</t>
        </is>
      </c>
      <c r="AB20" s="10" t="inlineStr">
        <is>
          <t>No se utiliza un dataset externo; la validación se basa en parámetros geométricos y de entorno generados en MATLAB, incluyendo coordenadas de objetivos, picos de montañas y radios de fuerzas de viento.</t>
        </is>
      </c>
      <c r="AC20" s="10" t="inlineStr">
        <is>
          <t>El enfoque MMACO-DE destaca por generar rutas más cortas y con menos giros en comparación con MMACO-CM. Además, ofrece una mayor velocidad de convergencia y estabilidad en la planificación de trayectorias dentro de entornos complejos.</t>
        </is>
      </c>
      <c r="AD20" s="10" t="inlineStr">
        <is>
          <t>Se identifica que las tecnologías actuales de inteligencia artificial aún no son plenamente capaces de ofrecer soluciones en tiempo real durante el modo operativo del dron sin depender de cálculos previos extensos o simplificaciones.</t>
        </is>
      </c>
      <c r="AE20" s="10" t="inlineStr">
        <is>
          <t>El estudio realiza una comparativa directa del rendimiento entre dos variantes híbridas: MMACO-DE frente a MMACO-CM.</t>
        </is>
      </c>
      <c r="AF20" s="10" t="inlineStr">
        <is>
          <t>La investigación aporta un análisis de convergencia comparativo de dos algoritmos híbridos bio-inspirados diseñados específicamente para resolver la planificación de rutas en entornos 3D dinámicos con presencia de obstáculos artificiales y naturales.</t>
        </is>
      </c>
      <c r="AG20" s="10" t="inlineStr">
        <is>
          <t>Se planea llevar los algoritmos del entorno de simulación a la implementación en hardware físico para validar la eficiencia de las trayectorias en condiciones reales de vuelo.</t>
        </is>
      </c>
      <c r="AH20" s="8" t="inlineStr">
        <is>
          <t>Alta</t>
        </is>
      </c>
      <c r="AI20" s="8" t="inlineStr">
        <is>
          <t>Multiple</t>
        </is>
      </c>
      <c r="AJ20" s="10" t="inlineStr">
        <is>
          <t>Las fuentes no proporcionan el formato BibTeX explícito, pero incluyen todos los metadatos necesarios (autores, título, revista, DOI) para generarlo externamente.</t>
        </is>
      </c>
      <c r="AK20" s="10" t="inlineStr">
        <is>
          <t>Path planning, Max-Min Ant Colony Optimization, differential evolution, Cauchy mutation.</t>
        </is>
      </c>
      <c r="AL20" s="10" t="inlineStr">
        <is>
          <t>El artículo investiga modelos híbridos de optimización para la planificación de rutas colectivas de UAVs ante obstáculos inesperados. Los resultados de la simulación demuestran que el método MMACO-DE supera al MMACO-CM en longitud de ruta y tiempo de convergencia.</t>
        </is>
      </c>
      <c r="AM20" s="10" t="inlineStr">
        <is>
          <t>El paper incluye la Figura 1 (nodos y ángulos de giro), la Figura 2 (comportamiento de búsqueda de las hormigas), las Figuras 3 a 6 (vistas 2D y 3D de las rutas en dos casos de estudio) y la Figura 7 (costos de estimación).</t>
        </is>
      </c>
      <c r="AN20" s="10" t="inlineStr">
        <is>
          <t>"Unmanned Aerial Vehicles (UAVs) seem to be the most efficient way of achieving the intended aerial tasks". Las fuentes también destacan que las aplicaciones de estos vehículos se expanden día a día debido a su impacto en todos los campos, pasando de tareas simples con altos costos a tareas complejas realizadas por múltiples UAVs.</t>
        </is>
      </c>
      <c r="AO20" s="10" t="inlineStr">
        <is>
          <t>"The search space is constrained with this strategy by specifying a range, which reduces the search time and allows it to converge quickly". Se menciona además que la hibridación ayuda a optimizar los logros previos y a reducir los errores del sistema.</t>
        </is>
      </c>
      <c r="AP20" s="10" t="inlineStr">
        <is>
          <t>"the path constructed by the MMACO-DE is shorter than MMACO-CM and has fewer turns". El análisis de los casos de estudio confirma que el UAV que utiliza MMACO-DE llega a su destino antes, lo que verifica una mejor tasa de convergencia.</t>
        </is>
      </c>
      <c r="AQ20" s="10" t="inlineStr">
        <is>
          <t>"MMACO-DE algorithm was better than MMACO-CM in achieving a shorter path with less path cost". El estudio concluye que los algoritmos bio-inspirados son formas famosas y efectivas de resolver problemas de planificación de rutas con enfoques simples.</t>
        </is>
      </c>
      <c r="AR20" s="8" t="inlineStr">
        <is>
          <t>Analizado</t>
        </is>
      </c>
      <c r="AS20" s="7" t="n">
        <v>46052</v>
      </c>
      <c r="AT20" s="10" t="inlineStr">
        <is>
          <t>La innovación clave del algoritmo MMACO-DE es su estructura de sub-colonias jerárquicas, donde solo la "hormiga más apta" de cada grupo actualiza la feromona, lo que ahorra tiempo de computación y acelera la detección del objetivo. Este enfoque híbrido es vital porque las tecnologías actuales aún no pueden proporcionar soluciones completas en tiempo real en modo operativo sin cálculos previos.</t>
        </is>
      </c>
      <c r="AU20" s="10" t="inlineStr">
        <is>
          <t>Se plantea que el operador de Mutación de Cauchy (CM) ayuda a evitar caer en óptimos locales mediante variaciones, pero en las simulaciones presentadas, el operador de Evolución Diferencial (DE) fue consistentemente superior en términos de distancia total y fluidez de la ruta. Queda pendiente verificar si estos resultados se mantienen en entornos físicos reales, ya que el estudio se limita a simulaciones en MATLAB.</t>
        </is>
      </c>
      <c r="AV20" s="10" t="n"/>
      <c r="AW20" s="11" t="n"/>
      <c r="AY20" s="10" t="n"/>
      <c r="AZ20" s="10" t="n"/>
      <c r="BA20" s="11" t="n"/>
      <c r="BB20" s="10" t="n"/>
      <c r="BC20" s="10" t="n"/>
      <c r="BD20" s="11" t="n"/>
      <c r="BE20" s="10" t="n"/>
      <c r="BF20" s="10" t="n"/>
      <c r="BG20" s="10" t="n"/>
      <c r="BH20" s="10" t="n"/>
      <c r="BI20" s="10" t="n"/>
      <c r="BJ20" s="10" t="n"/>
      <c r="BK20" s="11" t="n"/>
      <c r="BL20" s="10" t="n"/>
      <c r="BM20" s="11" t="n"/>
      <c r="BN20" s="10" t="n"/>
      <c r="BO20" s="10" t="n"/>
      <c r="BP20" s="10" t="n"/>
      <c r="BQ20" s="10" t="n"/>
      <c r="BR20" s="10" t="n"/>
      <c r="BS20" s="10" t="n"/>
      <c r="BT20" s="12" t="n"/>
      <c r="BU20" s="11" t="n"/>
      <c r="BV20" s="10" t="n"/>
      <c r="BW20" s="10" t="n"/>
      <c r="BX20" s="10" t="n"/>
      <c r="BY20" s="10" t="n"/>
      <c r="BZ20" s="10" t="n"/>
      <c r="CA20" s="10" t="n"/>
      <c r="CB20" s="10" t="n"/>
      <c r="CC20" s="10" t="n"/>
      <c r="CD20" s="11" t="n"/>
      <c r="CE20" s="13" t="n"/>
      <c r="CF20" s="10" t="n"/>
      <c r="CG20" s="10" t="n"/>
    </row>
    <row r="21" ht="15.75" customHeight="1">
      <c r="A21" s="8" t="n"/>
      <c r="B21" s="10" t="n"/>
      <c r="C21" s="10" t="n"/>
      <c r="D21" s="8" t="n"/>
      <c r="E21" s="8" t="n"/>
      <c r="F21" s="8" t="n"/>
      <c r="G21" s="10" t="n"/>
      <c r="H21" s="8" t="n"/>
      <c r="I21" s="8" t="n"/>
      <c r="J21" s="8" t="n"/>
      <c r="K21" s="10" t="n"/>
      <c r="L21" s="8" t="n"/>
      <c r="M21" s="10" t="n"/>
      <c r="N21" s="10" t="n"/>
      <c r="O21" s="8" t="n"/>
      <c r="P21" s="10" t="n"/>
      <c r="Q21" s="10" t="n"/>
      <c r="R21" s="8" t="n"/>
      <c r="S21" s="10" t="n"/>
      <c r="T21" s="10" t="n"/>
      <c r="U21" s="10" t="n"/>
      <c r="V21" s="10" t="n"/>
      <c r="W21" s="10" t="n"/>
      <c r="X21" s="10" t="n"/>
      <c r="Y21" s="8" t="n"/>
      <c r="Z21" s="10" t="n"/>
      <c r="AA21" s="8" t="n"/>
      <c r="AB21" s="10" t="n"/>
      <c r="AC21" s="10" t="n"/>
      <c r="AD21" s="10" t="n"/>
      <c r="AE21" s="10" t="n"/>
      <c r="AF21" s="10" t="n"/>
      <c r="AG21" s="10" t="n"/>
      <c r="AH21" s="8" t="n"/>
      <c r="AI21" s="8" t="n"/>
      <c r="AJ21" s="10" t="n"/>
      <c r="AK21" s="10" t="n"/>
      <c r="AL21" s="10" t="n"/>
      <c r="AM21" s="10" t="n"/>
      <c r="AN21" s="10" t="n"/>
      <c r="AO21" s="10" t="n"/>
      <c r="AP21" s="10" t="n"/>
      <c r="AQ21" s="10" t="n"/>
      <c r="AR21" s="8" t="n"/>
      <c r="AS21" s="7"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0" t="n"/>
      <c r="BR21" s="10" t="n"/>
      <c r="BS21" s="10" t="n"/>
      <c r="BT21" s="10" t="n"/>
      <c r="BU21" s="10" t="n"/>
      <c r="BV21" s="10" t="n"/>
      <c r="BW21" s="10" t="n"/>
      <c r="BX21" s="10" t="n"/>
      <c r="BY21" s="10" t="n"/>
      <c r="BZ21" s="10" t="n"/>
      <c r="CA21" s="10" t="n"/>
      <c r="CB21" s="10" t="n"/>
      <c r="CC21" s="10" t="n"/>
      <c r="CD21" s="10" t="n"/>
      <c r="CE21" s="10" t="n"/>
      <c r="CF21" s="10" t="n"/>
      <c r="CG21" s="10" t="n"/>
    </row>
    <row r="22" ht="15.75" customHeight="1">
      <c r="A22" s="8" t="n"/>
      <c r="B22" s="10" t="n"/>
      <c r="C22" s="10" t="n"/>
      <c r="D22" s="8" t="n"/>
      <c r="E22" s="8" t="n"/>
      <c r="F22" s="8" t="n"/>
      <c r="G22" s="10" t="n"/>
      <c r="H22" s="8" t="n"/>
      <c r="I22" s="8" t="n"/>
      <c r="J22" s="8" t="n"/>
      <c r="K22" s="10" t="n"/>
      <c r="L22" s="8" t="n"/>
      <c r="M22" s="10" t="n"/>
      <c r="N22" s="10" t="n"/>
      <c r="O22" s="8" t="n"/>
      <c r="P22" s="10" t="n"/>
      <c r="Q22" s="10" t="n"/>
      <c r="R22" s="8" t="n"/>
      <c r="S22" s="10" t="n"/>
      <c r="T22" s="10" t="n"/>
      <c r="U22" s="10" t="n"/>
      <c r="V22" s="10" t="n"/>
      <c r="W22" s="10" t="n"/>
      <c r="X22" s="10" t="n"/>
      <c r="Y22" s="8" t="n"/>
      <c r="Z22" s="10" t="n"/>
      <c r="AA22" s="8" t="n"/>
      <c r="AB22" s="10" t="n"/>
      <c r="AC22" s="10" t="n"/>
      <c r="AD22" s="10" t="n"/>
      <c r="AE22" s="10" t="n"/>
      <c r="AF22" s="10" t="n"/>
      <c r="AG22" s="10" t="n"/>
      <c r="AH22" s="8" t="n"/>
      <c r="AI22" s="8" t="n"/>
      <c r="AJ22" s="10" t="n"/>
      <c r="AK22" s="10" t="n"/>
      <c r="AL22" s="10" t="n"/>
      <c r="AM22" s="10" t="n"/>
      <c r="AN22" s="10" t="n"/>
      <c r="AO22" s="10" t="n"/>
      <c r="AP22" s="10" t="n"/>
      <c r="AQ22" s="10" t="n"/>
      <c r="AR22" s="8" t="n"/>
      <c r="AS22" s="7" t="n"/>
      <c r="AT22" s="10" t="n"/>
      <c r="AU22" s="10" t="n"/>
      <c r="AV22" s="10" t="n"/>
      <c r="AW22" s="10" t="n"/>
      <c r="AX22" s="10" t="n"/>
      <c r="AY22" s="10" t="n"/>
      <c r="AZ22" s="10" t="n"/>
      <c r="BA22" s="10" t="n"/>
      <c r="BB22" s="10" t="n"/>
      <c r="BC22" s="10" t="n"/>
      <c r="BD22" s="10" t="n"/>
      <c r="BE22" s="10" t="n"/>
      <c r="BF22" s="10" t="n"/>
      <c r="BG22" s="10" t="n"/>
      <c r="BH22" s="10" t="n"/>
      <c r="BI22" s="10" t="n"/>
      <c r="BJ22" s="10" t="n"/>
      <c r="BK22" s="10" t="n"/>
      <c r="BL22" s="10" t="n"/>
      <c r="BM22" s="10" t="n"/>
      <c r="BN22" s="10" t="n"/>
      <c r="BO22" s="10" t="n"/>
      <c r="BP22" s="10" t="n"/>
      <c r="BQ22" s="10" t="n"/>
      <c r="BR22" s="10" t="n"/>
      <c r="BS22" s="10" t="n"/>
      <c r="BT22" s="10" t="n"/>
      <c r="BU22" s="10" t="n"/>
      <c r="BV22" s="10" t="n"/>
      <c r="BW22" s="10" t="n"/>
      <c r="BX22" s="10" t="n"/>
      <c r="BY22" s="10" t="n"/>
      <c r="BZ22" s="10" t="n"/>
      <c r="CA22" s="10" t="n"/>
      <c r="CB22" s="10" t="n"/>
      <c r="CC22" s="10" t="n"/>
      <c r="CD22" s="10" t="n"/>
      <c r="CE22" s="10" t="n"/>
      <c r="CF22" s="10" t="n"/>
      <c r="CG22" s="10" t="n"/>
    </row>
    <row r="23" ht="15.75" customHeight="1">
      <c r="A23" s="8" t="n"/>
      <c r="B23" s="10" t="n"/>
      <c r="C23" s="10" t="n"/>
      <c r="D23" s="8" t="n"/>
      <c r="E23" s="8" t="n"/>
      <c r="F23" s="8" t="n"/>
      <c r="G23" s="10" t="n"/>
      <c r="H23" s="8" t="n"/>
      <c r="I23" s="8" t="n"/>
      <c r="J23" s="8" t="n"/>
      <c r="K23" s="10" t="n"/>
      <c r="L23" s="8" t="n"/>
      <c r="M23" s="10" t="n"/>
      <c r="N23" s="10" t="n"/>
      <c r="O23" s="8" t="n"/>
      <c r="P23" s="10" t="n"/>
      <c r="Q23" s="10" t="n"/>
      <c r="R23" s="8" t="n"/>
      <c r="S23" s="10" t="n"/>
      <c r="T23" s="10" t="n"/>
      <c r="U23" s="10" t="n"/>
      <c r="V23" s="10" t="n"/>
      <c r="W23" s="10" t="n"/>
      <c r="X23" s="10" t="n"/>
      <c r="Y23" s="8" t="n"/>
      <c r="Z23" s="10" t="n"/>
      <c r="AA23" s="8" t="n"/>
      <c r="AB23" s="10" t="n"/>
      <c r="AC23" s="10" t="n"/>
      <c r="AD23" s="10" t="n"/>
      <c r="AE23" s="10" t="n"/>
      <c r="AF23" s="10" t="n"/>
      <c r="AG23" s="10" t="n"/>
      <c r="AH23" s="8" t="n"/>
      <c r="AI23" s="8" t="n"/>
      <c r="AJ23" s="10" t="n"/>
      <c r="AK23" s="10" t="n"/>
      <c r="AL23" s="10" t="n"/>
      <c r="AM23" s="10" t="n"/>
      <c r="AN23" s="10" t="n"/>
      <c r="AO23" s="10" t="n"/>
      <c r="AP23" s="10" t="n"/>
      <c r="AQ23" s="10" t="n"/>
      <c r="AR23" s="8" t="n"/>
      <c r="AS23" s="7" t="n"/>
      <c r="AT23" s="10" t="n"/>
      <c r="AU23" s="10" t="n"/>
      <c r="AV23" s="10" t="n"/>
      <c r="AW23" s="10" t="n"/>
      <c r="AX23" s="10" t="n"/>
      <c r="AY23" s="10" t="n"/>
      <c r="AZ23" s="10" t="n"/>
      <c r="BA23" s="10" t="n"/>
      <c r="BB23" s="10" t="n"/>
      <c r="BC23" s="10" t="n"/>
      <c r="BD23" s="10" t="n"/>
      <c r="BE23" s="10" t="n"/>
      <c r="BF23" s="10" t="n"/>
      <c r="BG23" s="10" t="n"/>
      <c r="BH23" s="10" t="n"/>
      <c r="BI23" s="10" t="n"/>
      <c r="BJ23" s="10" t="n"/>
      <c r="BK23" s="10" t="n"/>
      <c r="BL23" s="10" t="n"/>
      <c r="BM23" s="10" t="n"/>
      <c r="BN23" s="10" t="n"/>
      <c r="BO23" s="10" t="n"/>
      <c r="BP23" s="10" t="n"/>
      <c r="BQ23" s="10" t="n"/>
      <c r="BR23" s="10" t="n"/>
      <c r="BS23" s="10" t="n"/>
      <c r="BT23" s="10" t="n"/>
      <c r="BU23" s="10" t="n"/>
      <c r="BV23" s="10" t="n"/>
      <c r="BW23" s="10" t="n"/>
      <c r="BX23" s="10" t="n"/>
      <c r="BY23" s="10" t="n"/>
      <c r="BZ23" s="10" t="n"/>
      <c r="CA23" s="10" t="n"/>
      <c r="CB23" s="10" t="n"/>
      <c r="CC23" s="10" t="n"/>
      <c r="CD23" s="10" t="n"/>
      <c r="CE23" s="10" t="n"/>
      <c r="CF23" s="10" t="n"/>
      <c r="CG23" s="10" t="n"/>
    </row>
    <row r="24" ht="15.75" customHeight="1">
      <c r="A24" s="8" t="n"/>
      <c r="B24" s="10" t="n"/>
      <c r="C24" s="10" t="n"/>
      <c r="D24" s="8" t="n"/>
      <c r="E24" s="8" t="n"/>
      <c r="F24" s="8" t="n"/>
      <c r="G24" s="10" t="n"/>
      <c r="H24" s="8" t="n"/>
      <c r="I24" s="8" t="n"/>
      <c r="J24" s="8" t="n"/>
      <c r="K24" s="10" t="n"/>
      <c r="L24" s="8" t="n"/>
      <c r="M24" s="10" t="n"/>
      <c r="N24" s="10" t="n"/>
      <c r="O24" s="8" t="n"/>
      <c r="P24" s="10" t="n"/>
      <c r="Q24" s="10" t="n"/>
      <c r="R24" s="8" t="n"/>
      <c r="S24" s="10" t="n"/>
      <c r="T24" s="10" t="n"/>
      <c r="U24" s="10" t="n"/>
      <c r="V24" s="10" t="n"/>
      <c r="W24" s="10" t="n"/>
      <c r="X24" s="10" t="n"/>
      <c r="Y24" s="8" t="n"/>
      <c r="Z24" s="10" t="n"/>
      <c r="AA24" s="8" t="n"/>
      <c r="AB24" s="10" t="n"/>
      <c r="AC24" s="10" t="n"/>
      <c r="AD24" s="10" t="n"/>
      <c r="AE24" s="10" t="n"/>
      <c r="AF24" s="10" t="n"/>
      <c r="AG24" s="10" t="n"/>
      <c r="AH24" s="8" t="n"/>
      <c r="AI24" s="8" t="n"/>
      <c r="AJ24" s="10" t="n"/>
      <c r="AK24" s="10" t="n"/>
      <c r="AL24" s="10" t="n"/>
      <c r="AM24" s="10" t="n"/>
      <c r="AN24" s="10" t="n"/>
      <c r="AO24" s="10" t="n"/>
      <c r="AP24" s="10" t="n"/>
      <c r="AQ24" s="10" t="n"/>
      <c r="AR24" s="8" t="n"/>
      <c r="AS24" s="7" t="n"/>
      <c r="AT24" s="10" t="n"/>
      <c r="AU24" s="10" t="n"/>
      <c r="AV24" s="10" t="n"/>
      <c r="AW24" s="10" t="n"/>
      <c r="AX24" s="10" t="n"/>
      <c r="AY24" s="10" t="n"/>
      <c r="AZ24" s="10" t="n"/>
      <c r="BA24" s="10" t="n"/>
      <c r="BB24" s="10" t="n"/>
      <c r="BC24" s="10" t="n"/>
      <c r="BD24" s="10" t="n"/>
      <c r="BE24" s="10" t="n"/>
      <c r="BF24" s="10" t="n"/>
      <c r="BG24" s="10" t="n"/>
      <c r="BH24" s="10" t="n"/>
      <c r="BI24" s="10" t="n"/>
      <c r="BJ24" s="10" t="n"/>
      <c r="BK24" s="10" t="n"/>
      <c r="BL24" s="10" t="n"/>
      <c r="BM24" s="10" t="n"/>
      <c r="BN24" s="10" t="n"/>
      <c r="BO24" s="10" t="n"/>
      <c r="BP24" s="10" t="n"/>
      <c r="BQ24" s="10" t="n"/>
      <c r="BR24" s="10" t="n"/>
      <c r="BS24" s="10" t="n"/>
      <c r="BT24" s="10" t="n"/>
      <c r="BU24" s="10" t="n"/>
      <c r="BV24" s="10" t="n"/>
      <c r="BW24" s="10" t="n"/>
      <c r="BX24" s="10" t="n"/>
      <c r="BY24" s="10" t="n"/>
      <c r="BZ24" s="10" t="n"/>
      <c r="CA24" s="10" t="n"/>
      <c r="CB24" s="10" t="n"/>
      <c r="CC24" s="10" t="n"/>
      <c r="CD24" s="10" t="n"/>
      <c r="CE24" s="10" t="n"/>
      <c r="CF24" s="10" t="n"/>
      <c r="CG24" s="10" t="n"/>
    </row>
    <row r="25" ht="15.75" customHeight="1">
      <c r="A25" s="8" t="n"/>
      <c r="B25" s="10" t="n"/>
      <c r="C25" s="10" t="n"/>
      <c r="D25" s="8" t="n"/>
      <c r="E25" s="8" t="n"/>
      <c r="F25" s="8" t="n"/>
      <c r="G25" s="8" t="n"/>
      <c r="H25" s="8" t="n"/>
      <c r="I25" s="10" t="n"/>
      <c r="J25" s="8" t="n"/>
      <c r="L25" s="8" t="n"/>
      <c r="M25" s="10" t="n"/>
      <c r="N25" s="8" t="n"/>
      <c r="O25" s="8" t="n"/>
      <c r="P25" s="10" t="n"/>
      <c r="Q25" s="10" t="n"/>
      <c r="R25" s="8" t="n"/>
      <c r="S25" s="8" t="n"/>
      <c r="T25" s="10" t="n"/>
      <c r="U25" s="10" t="n"/>
      <c r="V25" s="10" t="n"/>
      <c r="W25" s="10" t="n"/>
      <c r="X25" s="10" t="n"/>
      <c r="Y25" s="8" t="n"/>
      <c r="Z25" s="10" t="n"/>
      <c r="AA25" s="8" t="n"/>
      <c r="AB25" s="10" t="n"/>
      <c r="AC25" s="10" t="n"/>
      <c r="AD25" s="10" t="n"/>
      <c r="AE25" s="10" t="n"/>
      <c r="AF25" s="10" t="n"/>
      <c r="AG25" s="10" t="n"/>
      <c r="AH25" s="8" t="n"/>
      <c r="AI25" s="8" t="n"/>
      <c r="AJ25" s="8" t="n"/>
      <c r="AK25" s="10" t="n"/>
      <c r="AL25" s="10" t="n"/>
      <c r="AM25" s="10" t="n"/>
      <c r="AN25" s="10" t="n"/>
      <c r="AO25" s="10" t="n"/>
      <c r="AP25" s="10" t="n"/>
      <c r="AQ25" s="10" t="n"/>
      <c r="AR25" s="8" t="n"/>
      <c r="AS25" s="9"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0" t="n"/>
      <c r="BR25" s="10" t="n"/>
      <c r="BS25" s="10" t="n"/>
      <c r="BT25" s="10" t="n"/>
      <c r="BU25" s="10" t="n"/>
      <c r="BV25" s="10" t="n"/>
      <c r="BW25" s="10" t="n"/>
      <c r="BX25" s="10" t="n"/>
      <c r="BY25" s="10" t="n"/>
      <c r="BZ25" s="10" t="n"/>
      <c r="CA25" s="10" t="n"/>
      <c r="CB25" s="10" t="n"/>
      <c r="CC25" s="10" t="n"/>
      <c r="CD25" s="10" t="n"/>
      <c r="CE25" s="10" t="n"/>
      <c r="CF25" s="10" t="n"/>
      <c r="CG25" s="10" t="n"/>
    </row>
    <row r="26" ht="15.75" customHeight="1">
      <c r="A26" s="8" t="n"/>
      <c r="B26" s="10" t="n"/>
      <c r="C26" s="10" t="n"/>
      <c r="D26" s="8" t="n"/>
      <c r="E26" s="8" t="n"/>
      <c r="F26" s="8" t="n"/>
      <c r="G26" s="10" t="n"/>
      <c r="H26" s="5" t="n"/>
      <c r="I26" s="5" t="n"/>
      <c r="J26" s="8" t="n"/>
      <c r="L26" s="8" t="n"/>
      <c r="M26" s="10" t="n"/>
      <c r="N26" s="10" t="n"/>
      <c r="O26" s="8" t="n"/>
      <c r="P26" s="10" t="n"/>
      <c r="Q26" s="10" t="n"/>
      <c r="R26" s="8" t="n"/>
      <c r="S26" s="8" t="n"/>
      <c r="T26" s="10" t="n"/>
      <c r="U26" s="10" t="n"/>
      <c r="V26" s="10" t="n"/>
      <c r="W26" s="10" t="n"/>
      <c r="X26" s="10" t="n"/>
      <c r="Y26" s="8" t="n"/>
      <c r="Z26" s="10" t="n"/>
      <c r="AA26" s="8" t="n"/>
      <c r="AB26" s="10" t="n"/>
      <c r="AC26" s="10" t="n"/>
      <c r="AD26" s="10" t="n"/>
      <c r="AE26" s="10" t="n"/>
      <c r="AF26" s="10" t="n"/>
      <c r="AG26" s="10" t="n"/>
      <c r="AH26" s="8" t="n"/>
      <c r="AI26" s="8" t="n"/>
      <c r="AJ26" s="10" t="n"/>
      <c r="AK26" s="10" t="n"/>
      <c r="AL26" s="10" t="n"/>
      <c r="AM26" s="10" t="n"/>
      <c r="AN26" s="10" t="n"/>
      <c r="AO26" s="10" t="n"/>
      <c r="AP26" s="10" t="n"/>
      <c r="AQ26" s="10" t="n"/>
      <c r="AR26" s="8" t="n"/>
      <c r="AS26" s="9"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0" t="n"/>
      <c r="BR26" s="10" t="n"/>
      <c r="BS26" s="10" t="n"/>
      <c r="BT26" s="10" t="n"/>
      <c r="BU26" s="10" t="n"/>
      <c r="BV26" s="10" t="n"/>
      <c r="BW26" s="10" t="n"/>
      <c r="BX26" s="10" t="n"/>
      <c r="BY26" s="10" t="n"/>
      <c r="BZ26" s="10" t="n"/>
      <c r="CA26" s="10" t="n"/>
      <c r="CB26" s="10" t="n"/>
      <c r="CC26" s="10" t="n"/>
      <c r="CD26" s="10" t="n"/>
      <c r="CE26" s="10" t="n"/>
      <c r="CF26" s="10" t="n"/>
      <c r="CG26" s="10" t="n"/>
    </row>
    <row r="27" ht="15.75" customHeight="1">
      <c r="A27" s="8" t="n"/>
      <c r="B27" s="8" t="n"/>
    </row>
    <row r="28" ht="15.75" customHeight="1">
      <c r="A28" s="8" t="n"/>
      <c r="B28" s="8" t="n"/>
    </row>
    <row r="29" ht="15.75" customHeight="1">
      <c r="A29" s="8" t="n"/>
      <c r="B29" s="8" t="n"/>
      <c r="F29" s="8" t="n"/>
      <c r="J29" s="8" t="n"/>
      <c r="L29" s="8" t="n"/>
      <c r="O29" s="8" t="n"/>
      <c r="R29" s="8" t="n"/>
      <c r="S29" s="8" t="n"/>
      <c r="Y29" s="8" t="n"/>
      <c r="AA29" s="8" t="n"/>
      <c r="AH29" s="8" t="n"/>
      <c r="AI29" s="8" t="n"/>
      <c r="AR29" s="8" t="n"/>
    </row>
    <row r="30" ht="15.75" customHeight="1">
      <c r="A30" s="8" t="n"/>
      <c r="B30" s="8" t="n"/>
      <c r="F30" s="8" t="n"/>
      <c r="J30" s="8" t="n"/>
      <c r="L30" s="8" t="n"/>
      <c r="O30" s="8" t="n"/>
      <c r="R30" s="8" t="n"/>
      <c r="S30" s="8" t="n"/>
      <c r="Y30" s="8" t="n"/>
      <c r="AA30" s="8" t="n"/>
      <c r="AH30" s="8" t="n"/>
      <c r="AI30" s="8" t="n"/>
      <c r="AR30" s="8" t="n"/>
    </row>
    <row r="31" ht="15.75" customHeight="1">
      <c r="A31" s="8" t="n"/>
      <c r="B31" s="8" t="n"/>
      <c r="F31" s="8" t="n"/>
      <c r="J31" s="8" t="n"/>
      <c r="L31" s="8" t="n"/>
      <c r="O31" s="8" t="n"/>
      <c r="R31" s="8" t="n"/>
      <c r="S31" s="8" t="n"/>
      <c r="Y31" s="8" t="n"/>
      <c r="AA31" s="8" t="n"/>
      <c r="AH31" s="8" t="n"/>
      <c r="AI31" s="8" t="n"/>
      <c r="AR31" s="8" t="n"/>
    </row>
    <row r="32" ht="15.75" customHeight="1">
      <c r="A32" s="8" t="n"/>
      <c r="B32" s="8" t="n"/>
      <c r="F32" s="8" t="n"/>
      <c r="J32" s="8" t="n"/>
      <c r="L32" s="8" t="n"/>
      <c r="O32" s="8" t="n"/>
      <c r="R32" s="8" t="n"/>
      <c r="S32" s="8" t="n"/>
      <c r="Y32" s="8" t="n"/>
      <c r="AA32" s="8" t="n"/>
      <c r="AH32" s="8" t="n"/>
      <c r="AI32" s="8" t="n"/>
      <c r="AR32" s="8" t="n"/>
    </row>
    <row r="33" ht="15.75" customHeight="1">
      <c r="A33" s="8" t="n"/>
      <c r="B33" s="8" t="n"/>
      <c r="F33" s="8" t="n"/>
      <c r="J33" s="8" t="n"/>
      <c r="L33" s="8" t="n"/>
      <c r="O33" s="8" t="n"/>
      <c r="R33" s="8" t="n"/>
      <c r="S33" s="8" t="n"/>
      <c r="Y33" s="8" t="n"/>
      <c r="AA33" s="8" t="n"/>
      <c r="AH33" s="8" t="n"/>
      <c r="AI33" s="8" t="n"/>
      <c r="AR33" s="8" t="n"/>
    </row>
    <row r="34" ht="15.75" customHeight="1">
      <c r="A34" s="8" t="n"/>
      <c r="B34" s="8" t="n"/>
      <c r="F34" s="8" t="n"/>
      <c r="J34" s="8" t="n"/>
      <c r="L34" s="8" t="n"/>
      <c r="O34" s="8" t="n"/>
      <c r="R34" s="8" t="n"/>
      <c r="S34" s="8" t="n"/>
      <c r="Y34" s="8" t="n"/>
      <c r="AA34" s="8" t="n"/>
      <c r="AH34" s="8" t="n"/>
      <c r="AI34" s="8" t="n"/>
      <c r="AR34" s="8" t="n"/>
    </row>
    <row r="35" ht="15.75" customHeight="1">
      <c r="A35" s="8" t="n"/>
      <c r="B35" s="8" t="n"/>
      <c r="F35" s="8" t="n"/>
      <c r="J35" s="8" t="n"/>
      <c r="L35" s="8" t="n"/>
      <c r="O35" s="8" t="n"/>
      <c r="R35" s="8" t="n"/>
      <c r="S35" s="8" t="n"/>
      <c r="Y35" s="8" t="n"/>
      <c r="AA35" s="8" t="n"/>
      <c r="AH35" s="8" t="n"/>
      <c r="AI35" s="8" t="n"/>
      <c r="AR35" s="8" t="n"/>
    </row>
    <row r="36" ht="15.75" customHeight="1">
      <c r="A36" s="8" t="n"/>
      <c r="B36" s="8" t="n"/>
      <c r="F36" s="8" t="n"/>
      <c r="J36" s="8" t="n"/>
      <c r="L36" s="8" t="n"/>
      <c r="O36" s="8" t="n"/>
      <c r="R36" s="8" t="n"/>
      <c r="S36" s="8" t="n"/>
      <c r="Y36" s="8" t="n"/>
      <c r="AA36" s="8" t="n"/>
      <c r="AH36" s="8" t="n"/>
      <c r="AI36" s="8" t="n"/>
      <c r="AR36" s="8" t="n"/>
    </row>
    <row r="37" ht="15.75" customHeight="1">
      <c r="A37" s="8" t="n"/>
      <c r="B37" s="8" t="n"/>
      <c r="F37" s="8" t="n"/>
      <c r="J37" s="8" t="n"/>
      <c r="L37" s="8" t="n"/>
      <c r="O37" s="8" t="n"/>
      <c r="R37" s="8" t="n"/>
      <c r="S37" s="8" t="n"/>
      <c r="Y37" s="8" t="n"/>
      <c r="AA37" s="8" t="n"/>
      <c r="AH37" s="8" t="n"/>
      <c r="AI37" s="8" t="n"/>
      <c r="AR37" s="8" t="n"/>
    </row>
    <row r="38" ht="15.75" customHeight="1">
      <c r="A38" s="8" t="n"/>
      <c r="B38" s="8" t="n"/>
      <c r="F38" s="8" t="n"/>
      <c r="J38" s="8" t="n"/>
      <c r="L38" s="8" t="n"/>
      <c r="O38" s="8" t="n"/>
      <c r="R38" s="8" t="n"/>
      <c r="S38" s="8" t="n"/>
      <c r="Y38" s="8" t="n"/>
      <c r="AA38" s="8" t="n"/>
      <c r="AH38" s="8" t="n"/>
      <c r="AI38" s="8" t="n"/>
      <c r="AR38" s="8" t="n"/>
    </row>
    <row r="39" ht="15.75" customHeight="1">
      <c r="A39" s="8" t="n"/>
      <c r="B39" s="8" t="n"/>
      <c r="F39" s="8" t="n"/>
      <c r="J39" s="8" t="n"/>
      <c r="L39" s="8" t="n"/>
      <c r="O39" s="8" t="n"/>
      <c r="R39" s="8" t="n"/>
      <c r="S39" s="8" t="n"/>
      <c r="Y39" s="8" t="n"/>
      <c r="AA39" s="8" t="n"/>
      <c r="AH39" s="8" t="n"/>
      <c r="AI39" s="8" t="n"/>
      <c r="AR39" s="8" t="n"/>
    </row>
    <row r="40" ht="15.75" customHeight="1">
      <c r="A40" s="8" t="n"/>
      <c r="B40" s="8" t="n"/>
      <c r="F40" s="8" t="n"/>
      <c r="J40" s="8" t="n"/>
      <c r="L40" s="8" t="n"/>
      <c r="O40" s="8" t="n"/>
      <c r="R40" s="8" t="n"/>
      <c r="S40" s="8" t="n"/>
      <c r="Y40" s="8" t="n"/>
      <c r="AA40" s="8" t="n"/>
      <c r="AH40" s="8" t="n"/>
      <c r="AI40" s="8" t="n"/>
      <c r="AR40" s="8" t="n"/>
    </row>
    <row r="41" ht="15.75" customHeight="1">
      <c r="A41" s="8" t="n"/>
      <c r="B41" s="8" t="n"/>
      <c r="F41" s="8" t="n"/>
      <c r="J41" s="8" t="n"/>
      <c r="L41" s="8" t="n"/>
      <c r="O41" s="8" t="n"/>
      <c r="R41" s="8" t="n"/>
      <c r="S41" s="8" t="n"/>
      <c r="Y41" s="8" t="n"/>
      <c r="AA41" s="8" t="n"/>
      <c r="AH41" s="8" t="n"/>
      <c r="AI41" s="8" t="n"/>
      <c r="AR41" s="8" t="n"/>
    </row>
    <row r="42" ht="15.75" customHeight="1">
      <c r="A42" s="8" t="n"/>
      <c r="B42" s="8" t="n"/>
      <c r="F42" s="8" t="n"/>
      <c r="J42" s="8" t="n"/>
      <c r="L42" s="8" t="n"/>
      <c r="O42" s="8" t="n"/>
      <c r="R42" s="8" t="n"/>
      <c r="S42" s="8" t="n"/>
      <c r="Y42" s="8" t="n"/>
      <c r="AA42" s="8" t="n"/>
      <c r="AH42" s="8" t="n"/>
      <c r="AI42" s="8" t="n"/>
      <c r="AR42" s="8" t="n"/>
    </row>
    <row r="43" ht="15.75" customHeight="1">
      <c r="A43" s="8" t="n"/>
      <c r="B43" s="8" t="n"/>
      <c r="F43" s="8" t="n"/>
      <c r="J43" s="8" t="n"/>
      <c r="L43" s="8" t="n"/>
      <c r="O43" s="8" t="n"/>
      <c r="R43" s="8" t="n"/>
      <c r="S43" s="8" t="n"/>
      <c r="Y43" s="8" t="n"/>
      <c r="AA43" s="8" t="n"/>
      <c r="AH43" s="8" t="n"/>
      <c r="AI43" s="8" t="n"/>
      <c r="AR43" s="8" t="n"/>
    </row>
    <row r="44" ht="15.75" customHeight="1">
      <c r="A44" s="8" t="n"/>
      <c r="B44" s="8" t="n"/>
      <c r="F44" s="8" t="n"/>
      <c r="J44" s="8" t="n"/>
      <c r="L44" s="8" t="n"/>
      <c r="O44" s="8" t="n"/>
      <c r="R44" s="8" t="n"/>
      <c r="S44" s="8" t="n"/>
      <c r="Y44" s="8" t="n"/>
      <c r="AA44" s="8" t="n"/>
      <c r="AH44" s="8" t="n"/>
      <c r="AI44" s="8" t="n"/>
      <c r="AR44" s="8" t="n"/>
    </row>
    <row r="45" ht="15.75" customHeight="1">
      <c r="A45" s="8" t="n"/>
      <c r="B45" s="8" t="n"/>
      <c r="F45" s="8" t="n"/>
      <c r="J45" s="8" t="n"/>
      <c r="L45" s="8" t="n"/>
      <c r="O45" s="8" t="n"/>
      <c r="R45" s="8" t="n"/>
      <c r="S45" s="8" t="n"/>
      <c r="Y45" s="8" t="n"/>
      <c r="AA45" s="8" t="n"/>
      <c r="AH45" s="8" t="n"/>
      <c r="AI45" s="8" t="n"/>
      <c r="AR45" s="8" t="n"/>
    </row>
    <row r="46" ht="15.75" customHeight="1">
      <c r="A46" s="8" t="n"/>
      <c r="B46" s="8" t="n"/>
      <c r="F46" s="8" t="n"/>
      <c r="J46" s="8" t="n"/>
      <c r="L46" s="8" t="n"/>
      <c r="O46" s="8" t="n"/>
      <c r="R46" s="8" t="n"/>
      <c r="S46" s="8" t="n"/>
      <c r="Y46" s="8" t="n"/>
      <c r="AA46" s="8" t="n"/>
      <c r="AH46" s="8" t="n"/>
      <c r="AI46" s="8" t="n"/>
      <c r="AR46" s="8" t="n"/>
    </row>
    <row r="47" ht="15.75" customHeight="1">
      <c r="A47" s="8" t="n"/>
      <c r="B47" s="8" t="n"/>
      <c r="F47" s="8" t="n"/>
      <c r="J47" s="8" t="n"/>
      <c r="L47" s="8" t="n"/>
      <c r="O47" s="8" t="n"/>
      <c r="R47" s="8" t="n"/>
      <c r="S47" s="8" t="n"/>
      <c r="Y47" s="8" t="n"/>
      <c r="AA47" s="8" t="n"/>
      <c r="AH47" s="8" t="n"/>
      <c r="AI47" s="8" t="n"/>
      <c r="AR47" s="8" t="n"/>
    </row>
    <row r="48" ht="15.75" customHeight="1">
      <c r="A48" s="8" t="n"/>
      <c r="B48" s="8" t="n"/>
      <c r="F48" s="8" t="n"/>
      <c r="J48" s="8" t="n"/>
      <c r="L48" s="8" t="n"/>
      <c r="O48" s="8" t="n"/>
      <c r="R48" s="8" t="n"/>
      <c r="S48" s="8" t="n"/>
      <c r="Y48" s="8" t="n"/>
      <c r="AA48" s="8" t="n"/>
      <c r="AH48" s="8" t="n"/>
      <c r="AI48" s="8" t="n"/>
      <c r="AR48" s="8" t="n"/>
    </row>
    <row r="49" ht="15.75" customHeight="1">
      <c r="A49" s="8" t="n"/>
      <c r="B49" s="8" t="n"/>
      <c r="F49" s="8" t="n"/>
      <c r="J49" s="8" t="n"/>
      <c r="L49" s="8" t="n"/>
      <c r="O49" s="8" t="n"/>
      <c r="R49" s="8" t="n"/>
      <c r="S49" s="8" t="n"/>
      <c r="Y49" s="8" t="n"/>
      <c r="AA49" s="8" t="n"/>
      <c r="AH49" s="8" t="n"/>
      <c r="AI49" s="8" t="n"/>
      <c r="AR49" s="8" t="n"/>
    </row>
    <row r="50" ht="15.75" customHeight="1">
      <c r="A50" s="8" t="n"/>
      <c r="B50" s="8" t="n"/>
      <c r="F50" s="8" t="n"/>
      <c r="J50" s="8" t="n"/>
      <c r="L50" s="8" t="n"/>
      <c r="O50" s="8" t="n"/>
      <c r="R50" s="8" t="n"/>
      <c r="S50" s="8" t="n"/>
      <c r="Y50" s="8" t="n"/>
      <c r="AA50" s="8" t="n"/>
      <c r="AH50" s="8" t="n"/>
      <c r="AI50" s="8" t="n"/>
      <c r="AR50" s="8" t="n"/>
    </row>
    <row r="51" ht="15.75" customHeight="1">
      <c r="A51" s="8" t="n"/>
      <c r="B51" s="8" t="n"/>
      <c r="F51" s="8" t="n"/>
      <c r="J51" s="8" t="n"/>
      <c r="L51" s="8" t="n"/>
      <c r="O51" s="8" t="n"/>
      <c r="R51" s="8" t="n"/>
      <c r="S51" s="8" t="n"/>
      <c r="Y51" s="8" t="n"/>
      <c r="AA51" s="8" t="n"/>
      <c r="AH51" s="8" t="n"/>
      <c r="AI51" s="8" t="n"/>
      <c r="AR51" s="8" t="n"/>
    </row>
    <row r="52" ht="15.75" customHeight="1">
      <c r="A52" s="8" t="n"/>
      <c r="B52" s="8" t="n"/>
      <c r="F52" s="8" t="n"/>
      <c r="J52" s="8" t="n"/>
      <c r="L52" s="8" t="n"/>
      <c r="O52" s="8" t="n"/>
      <c r="R52" s="8" t="n"/>
      <c r="S52" s="8" t="n"/>
      <c r="Y52" s="8" t="n"/>
      <c r="AA52" s="8" t="n"/>
      <c r="AH52" s="8" t="n"/>
      <c r="AI52" s="8" t="n"/>
      <c r="AR52" s="8" t="n"/>
    </row>
    <row r="53" ht="15.75" customHeight="1">
      <c r="A53" s="8" t="n"/>
      <c r="B53" s="8" t="n"/>
      <c r="F53" s="8" t="n"/>
      <c r="J53" s="8" t="n"/>
      <c r="L53" s="8" t="n"/>
      <c r="O53" s="8" t="n"/>
      <c r="R53" s="8" t="n"/>
      <c r="S53" s="8" t="n"/>
      <c r="Y53" s="8" t="n"/>
      <c r="AA53" s="8" t="n"/>
      <c r="AH53" s="8" t="n"/>
      <c r="AI53" s="8" t="n"/>
      <c r="AR53" s="8" t="n"/>
    </row>
    <row r="54" ht="15.75" customHeight="1">
      <c r="A54" s="8" t="n"/>
      <c r="B54" s="8" t="n"/>
      <c r="F54" s="8" t="n"/>
      <c r="J54" s="8" t="n"/>
      <c r="L54" s="8" t="n"/>
      <c r="O54" s="8" t="n"/>
      <c r="R54" s="8" t="n"/>
      <c r="S54" s="8" t="n"/>
      <c r="Y54" s="8" t="n"/>
      <c r="AA54" s="8" t="n"/>
      <c r="AH54" s="8" t="n"/>
      <c r="AI54" s="8" t="n"/>
      <c r="AR54" s="8" t="n"/>
    </row>
    <row r="55" ht="15.75" customHeight="1">
      <c r="A55" s="8" t="n"/>
      <c r="B55" s="8" t="n"/>
      <c r="F55" s="8" t="n"/>
      <c r="J55" s="8" t="n"/>
      <c r="L55" s="8" t="n"/>
      <c r="O55" s="8" t="n"/>
      <c r="R55" s="8" t="n"/>
      <c r="S55" s="8" t="n"/>
      <c r="Y55" s="8" t="n"/>
      <c r="AA55" s="8" t="n"/>
      <c r="AH55" s="8" t="n"/>
      <c r="AI55" s="8" t="n"/>
      <c r="AR55" s="8" t="n"/>
    </row>
    <row r="56" ht="15.75" customHeight="1">
      <c r="A56" s="8" t="n"/>
      <c r="B56" s="8" t="n"/>
      <c r="F56" s="8" t="n"/>
      <c r="J56" s="8" t="n"/>
      <c r="L56" s="8" t="n"/>
      <c r="O56" s="8" t="n"/>
      <c r="R56" s="8" t="n"/>
      <c r="S56" s="8" t="n"/>
      <c r="Y56" s="8" t="n"/>
      <c r="AA56" s="8" t="n"/>
      <c r="AH56" s="8" t="n"/>
      <c r="AI56" s="8" t="n"/>
      <c r="AR56" s="8" t="n"/>
    </row>
    <row r="57" ht="15.75" customHeight="1">
      <c r="A57" s="8" t="n"/>
      <c r="B57" s="8" t="n"/>
      <c r="F57" s="8" t="n"/>
      <c r="J57" s="8" t="n"/>
      <c r="L57" s="8" t="n"/>
      <c r="O57" s="8" t="n"/>
      <c r="R57" s="8" t="n"/>
      <c r="S57" s="8" t="n"/>
      <c r="Y57" s="8" t="n"/>
      <c r="AA57" s="8" t="n"/>
      <c r="AH57" s="8" t="n"/>
      <c r="AI57" s="8" t="n"/>
      <c r="AR57" s="8" t="n"/>
    </row>
    <row r="58" ht="15.75" customHeight="1">
      <c r="A58" s="8" t="n"/>
      <c r="B58" s="8" t="n"/>
      <c r="F58" s="8" t="n"/>
      <c r="J58" s="8" t="n"/>
      <c r="L58" s="8" t="n"/>
      <c r="O58" s="8" t="n"/>
      <c r="R58" s="8" t="n"/>
      <c r="S58" s="8" t="n"/>
      <c r="Y58" s="8" t="n"/>
      <c r="AA58" s="8" t="n"/>
      <c r="AH58" s="8" t="n"/>
      <c r="AI58" s="8" t="n"/>
      <c r="AR58" s="8" t="n"/>
    </row>
    <row r="59" ht="15.75" customHeight="1">
      <c r="A59" s="8" t="n"/>
      <c r="B59" s="8" t="n"/>
      <c r="F59" s="8" t="n"/>
      <c r="J59" s="8" t="n"/>
      <c r="L59" s="8" t="n"/>
      <c r="O59" s="8" t="n"/>
      <c r="R59" s="8" t="n"/>
      <c r="S59" s="8" t="n"/>
      <c r="Y59" s="8" t="n"/>
      <c r="AA59" s="8" t="n"/>
      <c r="AH59" s="8" t="n"/>
      <c r="AI59" s="8" t="n"/>
      <c r="AR59" s="8" t="n"/>
    </row>
    <row r="60" ht="15.75" customHeight="1">
      <c r="A60" s="8" t="n"/>
      <c r="B60" s="8" t="n"/>
      <c r="F60" s="8" t="n"/>
      <c r="J60" s="8" t="n"/>
      <c r="L60" s="8" t="n"/>
      <c r="O60" s="8" t="n"/>
      <c r="R60" s="8" t="n"/>
      <c r="S60" s="8" t="n"/>
      <c r="Y60" s="8" t="n"/>
      <c r="AA60" s="8" t="n"/>
      <c r="AH60" s="8" t="n"/>
      <c r="AI60" s="8" t="n"/>
      <c r="AR60" s="8" t="n"/>
    </row>
    <row r="61" ht="15.75" customHeight="1">
      <c r="A61" s="8" t="n"/>
      <c r="B61" s="8" t="n"/>
      <c r="F61" s="8" t="n"/>
      <c r="J61" s="8" t="n"/>
      <c r="L61" s="8" t="n"/>
      <c r="O61" s="8" t="n"/>
      <c r="R61" s="8" t="n"/>
      <c r="S61" s="8" t="n"/>
      <c r="Y61" s="8" t="n"/>
      <c r="AA61" s="8" t="n"/>
      <c r="AH61" s="8" t="n"/>
      <c r="AI61" s="8" t="n"/>
      <c r="AR61" s="8" t="n"/>
    </row>
    <row r="62" ht="15.75" customHeight="1">
      <c r="A62" s="8" t="n"/>
      <c r="B62" s="8" t="n"/>
      <c r="F62" s="8" t="n"/>
      <c r="J62" s="8" t="n"/>
      <c r="L62" s="8" t="n"/>
      <c r="O62" s="8" t="n"/>
      <c r="R62" s="8" t="n"/>
      <c r="S62" s="8" t="n"/>
      <c r="Y62" s="8" t="n"/>
      <c r="AA62" s="8" t="n"/>
      <c r="AH62" s="8" t="n"/>
      <c r="AI62" s="8" t="n"/>
      <c r="AR62" s="8" t="n"/>
    </row>
    <row r="63" ht="15.75" customHeight="1">
      <c r="A63" s="8" t="n"/>
      <c r="B63" s="8" t="n"/>
      <c r="F63" s="8" t="n"/>
      <c r="J63" s="8" t="n"/>
      <c r="L63" s="8" t="n"/>
      <c r="O63" s="8" t="n"/>
      <c r="R63" s="8" t="n"/>
      <c r="S63" s="8" t="n"/>
      <c r="Y63" s="8" t="n"/>
      <c r="AA63" s="8" t="n"/>
      <c r="AH63" s="8" t="n"/>
      <c r="AI63" s="8" t="n"/>
      <c r="AR63" s="8" t="n"/>
    </row>
    <row r="64" ht="15.75" customHeight="1">
      <c r="A64" s="8" t="n"/>
      <c r="B64" s="10" t="n"/>
      <c r="C64" s="10" t="n"/>
      <c r="D64" s="8" t="n"/>
      <c r="E64" s="8" t="n"/>
      <c r="F64" s="8" t="n"/>
      <c r="G64" s="8" t="n"/>
      <c r="H64" s="8" t="n"/>
      <c r="I64" s="5" t="n"/>
      <c r="J64" s="8" t="n"/>
      <c r="K64" s="8" t="n"/>
      <c r="L64" s="8" t="n"/>
      <c r="M64" s="10" t="n"/>
      <c r="N64" s="10" t="n"/>
      <c r="O64" s="8" t="n"/>
      <c r="P64" s="10" t="n"/>
      <c r="Q64" s="10" t="n"/>
      <c r="R64" s="8" t="n"/>
      <c r="S64" s="8" t="n"/>
      <c r="T64" s="10" t="n"/>
      <c r="U64" s="10" t="n"/>
      <c r="V64" s="10" t="n"/>
      <c r="W64" s="10" t="n"/>
      <c r="X64" s="10" t="n"/>
      <c r="Y64" s="8" t="n"/>
      <c r="Z64" s="10" t="n"/>
      <c r="AA64" s="8" t="n"/>
      <c r="AB64" s="10" t="n"/>
      <c r="AC64" s="10" t="n"/>
      <c r="AD64" s="10" t="n"/>
      <c r="AE64" s="10" t="n"/>
      <c r="AF64" s="10" t="n"/>
      <c r="AG64" s="10" t="n"/>
      <c r="AH64" s="8" t="n"/>
      <c r="AI64" s="8" t="n"/>
      <c r="AJ64" s="10" t="n"/>
      <c r="AK64" s="10" t="n"/>
      <c r="AL64" s="10" t="n"/>
      <c r="AM64" s="10" t="n"/>
      <c r="AN64" s="10" t="n"/>
      <c r="AO64" s="10" t="n"/>
      <c r="AP64" s="10" t="n"/>
      <c r="AQ64" s="10" t="n"/>
      <c r="AR64" s="8" t="n"/>
      <c r="AS64" s="14" t="n"/>
      <c r="AT64" s="10" t="n"/>
      <c r="AU64" s="10" t="n"/>
    </row>
    <row r="65" ht="15.75" customHeight="1">
      <c r="F65" s="8" t="n"/>
      <c r="J65" s="8" t="n"/>
      <c r="L65" s="8" t="n"/>
      <c r="O65" s="8" t="n"/>
      <c r="R65" s="8" t="n"/>
      <c r="S65" s="8" t="n"/>
      <c r="Y65" s="8" t="n"/>
      <c r="AA65" s="8" t="n"/>
      <c r="AH65" s="8" t="n"/>
      <c r="AI65" s="8" t="n"/>
      <c r="AR65" s="8" t="n"/>
    </row>
    <row r="66" ht="15.75" customHeight="1">
      <c r="F66" s="8" t="n"/>
      <c r="J66" s="8" t="n"/>
      <c r="L66" s="8" t="n"/>
      <c r="O66" s="8" t="n"/>
      <c r="R66" s="8" t="n"/>
      <c r="S66" s="8" t="n"/>
      <c r="Y66" s="8" t="n"/>
      <c r="AA66" s="8" t="n"/>
      <c r="AH66" s="8" t="n"/>
      <c r="AI66" s="8" t="n"/>
      <c r="AR66" s="8" t="n"/>
    </row>
    <row r="67" ht="15.75" customHeight="1">
      <c r="F67" s="8" t="n"/>
      <c r="J67" s="8" t="n"/>
      <c r="L67" s="8" t="n"/>
      <c r="O67" s="8" t="n"/>
      <c r="R67" s="8" t="n"/>
      <c r="S67" s="8" t="n"/>
      <c r="Y67" s="8" t="n"/>
      <c r="AA67" s="8" t="n"/>
      <c r="AH67" s="8" t="n"/>
      <c r="AI67" s="8" t="n"/>
      <c r="AR67" s="8" t="n"/>
    </row>
    <row r="68" ht="15.75" customHeight="1">
      <c r="F68" s="8" t="n"/>
      <c r="J68" s="8" t="n"/>
      <c r="L68" s="8" t="n"/>
      <c r="O68" s="8" t="n"/>
      <c r="R68" s="8" t="n"/>
      <c r="S68" s="8" t="n"/>
      <c r="Y68" s="8" t="n"/>
      <c r="AA68" s="8" t="n"/>
      <c r="AH68" s="8" t="n"/>
      <c r="AI68" s="8" t="n"/>
      <c r="AR68" s="8" t="n"/>
    </row>
    <row r="69" ht="15.75" customHeight="1">
      <c r="F69" s="8" t="n"/>
      <c r="J69" s="8" t="n"/>
      <c r="L69" s="8" t="n"/>
      <c r="O69" s="8" t="n"/>
      <c r="R69" s="8" t="n"/>
      <c r="S69" s="8" t="n"/>
      <c r="Y69" s="8" t="n"/>
      <c r="AA69" s="8" t="n"/>
      <c r="AH69" s="8" t="n"/>
      <c r="AI69" s="8" t="n"/>
      <c r="AR69" s="8" t="n"/>
    </row>
    <row r="70" ht="15.75" customHeight="1">
      <c r="F70" s="8" t="n"/>
      <c r="J70" s="8" t="n"/>
      <c r="L70" s="8" t="n"/>
      <c r="O70" s="8" t="n"/>
      <c r="R70" s="8" t="n"/>
      <c r="S70" s="8" t="n"/>
      <c r="Y70" s="8" t="n"/>
      <c r="AA70" s="8" t="n"/>
      <c r="AH70" s="8" t="n"/>
      <c r="AI70" s="8" t="n"/>
      <c r="AR70" s="8" t="n"/>
    </row>
    <row r="71" ht="15.75" customHeight="1">
      <c r="F71" s="8" t="n"/>
      <c r="J71" s="8" t="n"/>
      <c r="L71" s="8" t="n"/>
      <c r="O71" s="8" t="n"/>
      <c r="R71" s="8" t="n"/>
      <c r="S71" s="8" t="n"/>
      <c r="Y71" s="8" t="n"/>
      <c r="AA71" s="8" t="n"/>
      <c r="AH71" s="8" t="n"/>
      <c r="AI71" s="8" t="n"/>
      <c r="AR71" s="8" t="n"/>
    </row>
    <row r="72" ht="15.75" customHeight="1">
      <c r="F72" s="8" t="n"/>
      <c r="J72" s="8" t="n"/>
      <c r="L72" s="8" t="n"/>
      <c r="O72" s="8" t="n"/>
      <c r="R72" s="8" t="n"/>
      <c r="S72" s="8" t="n"/>
      <c r="Y72" s="8" t="n"/>
      <c r="AA72" s="8" t="n"/>
      <c r="AH72" s="8" t="n"/>
      <c r="AI72" s="8" t="n"/>
      <c r="AR72" s="8" t="n"/>
    </row>
    <row r="73" ht="15.75" customHeight="1">
      <c r="F73" s="8" t="n"/>
      <c r="J73" s="8" t="n"/>
      <c r="L73" s="8" t="n"/>
      <c r="O73" s="8" t="n"/>
      <c r="R73" s="8" t="n"/>
      <c r="S73" s="8" t="n"/>
      <c r="Y73" s="8" t="n"/>
      <c r="AA73" s="8" t="n"/>
      <c r="AH73" s="8" t="n"/>
      <c r="AI73" s="8" t="n"/>
      <c r="AR73" s="8" t="n"/>
    </row>
    <row r="74" ht="15.75" customHeight="1">
      <c r="F74" s="8" t="n"/>
      <c r="J74" s="8" t="n"/>
      <c r="L74" s="8" t="n"/>
      <c r="O74" s="8" t="n"/>
      <c r="R74" s="8" t="n"/>
      <c r="S74" s="8" t="n"/>
      <c r="Y74" s="8" t="n"/>
      <c r="AA74" s="8" t="n"/>
      <c r="AH74" s="8" t="n"/>
      <c r="AI74" s="8" t="n"/>
      <c r="AR74" s="8" t="n"/>
    </row>
    <row r="75" ht="15.75" customHeight="1">
      <c r="F75" s="8" t="n"/>
      <c r="J75" s="8" t="n"/>
      <c r="L75" s="8" t="n"/>
      <c r="O75" s="8" t="n"/>
      <c r="R75" s="8" t="n"/>
      <c r="S75" s="8" t="n"/>
      <c r="Y75" s="8" t="n"/>
      <c r="AA75" s="8" t="n"/>
      <c r="AH75" s="8" t="n"/>
      <c r="AI75" s="8" t="n"/>
      <c r="AR75" s="8" t="n"/>
    </row>
    <row r="76" ht="15.75" customHeight="1">
      <c r="F76" s="8" t="n"/>
      <c r="J76" s="8" t="n"/>
      <c r="L76" s="8" t="n"/>
      <c r="O76" s="8" t="n"/>
      <c r="R76" s="8" t="n"/>
      <c r="S76" s="8" t="n"/>
      <c r="Y76" s="8" t="n"/>
      <c r="AA76" s="8" t="n"/>
      <c r="AH76" s="8" t="n"/>
      <c r="AI76" s="8" t="n"/>
      <c r="AR76" s="8" t="n"/>
    </row>
    <row r="77" ht="15.75" customHeight="1">
      <c r="F77" s="8" t="n"/>
      <c r="J77" s="8" t="n"/>
      <c r="L77" s="8" t="n"/>
      <c r="O77" s="8" t="n"/>
      <c r="R77" s="8" t="n"/>
      <c r="S77" s="8" t="n"/>
      <c r="Y77" s="8" t="n"/>
      <c r="AA77" s="8" t="n"/>
      <c r="AH77" s="8" t="n"/>
      <c r="AI77" s="8" t="n"/>
      <c r="AR77" s="8" t="n"/>
    </row>
    <row r="78" ht="15.75" customHeight="1">
      <c r="F78" s="8" t="n"/>
      <c r="J78" s="8" t="n"/>
      <c r="L78" s="8" t="n"/>
      <c r="O78" s="8" t="n"/>
      <c r="R78" s="8" t="n"/>
      <c r="S78" s="8" t="n"/>
      <c r="Y78" s="8" t="n"/>
      <c r="AA78" s="8" t="n"/>
      <c r="AH78" s="8" t="n"/>
      <c r="AI78" s="8" t="n"/>
      <c r="AR78" s="8" t="n"/>
    </row>
    <row r="79" ht="15.75" customHeight="1">
      <c r="F79" s="8" t="n"/>
      <c r="J79" s="8" t="n"/>
      <c r="L79" s="8" t="n"/>
      <c r="O79" s="8" t="n"/>
      <c r="R79" s="8" t="n"/>
      <c r="S79" s="8" t="n"/>
      <c r="Y79" s="8" t="n"/>
      <c r="AA79" s="8" t="n"/>
      <c r="AH79" s="8" t="n"/>
      <c r="AI79" s="8" t="n"/>
      <c r="AR79" s="8" t="n"/>
    </row>
    <row r="80" ht="15.75" customHeight="1">
      <c r="F80" s="8" t="n"/>
      <c r="J80" s="8" t="n"/>
      <c r="L80" s="8" t="n"/>
      <c r="O80" s="8" t="n"/>
      <c r="R80" s="8" t="n"/>
      <c r="S80" s="8" t="n"/>
      <c r="Y80" s="8" t="n"/>
      <c r="AA80" s="8" t="n"/>
      <c r="AH80" s="8" t="n"/>
      <c r="AI80" s="8" t="n"/>
      <c r="AR80" s="8" t="n"/>
    </row>
    <row r="81" ht="15.75" customHeight="1">
      <c r="F81" s="8" t="n"/>
      <c r="J81" s="8" t="n"/>
      <c r="L81" s="8" t="n"/>
      <c r="O81" s="8" t="n"/>
      <c r="R81" s="8" t="n"/>
      <c r="S81" s="8" t="n"/>
      <c r="Y81" s="8" t="n"/>
      <c r="AA81" s="8" t="n"/>
      <c r="AH81" s="8" t="n"/>
      <c r="AI81" s="8" t="n"/>
      <c r="AR81" s="8" t="n"/>
    </row>
    <row r="82" ht="15.75" customHeight="1">
      <c r="F82" s="8" t="n"/>
      <c r="J82" s="8" t="n"/>
      <c r="L82" s="8" t="n"/>
      <c r="O82" s="8" t="n"/>
      <c r="R82" s="8" t="n"/>
      <c r="S82" s="8" t="n"/>
      <c r="Y82" s="8" t="n"/>
      <c r="AA82" s="8" t="n"/>
      <c r="AH82" s="8" t="n"/>
      <c r="AI82" s="8" t="n"/>
      <c r="AR82" s="8" t="n"/>
    </row>
    <row r="83" ht="15.75" customHeight="1">
      <c r="F83" s="8" t="n"/>
      <c r="J83" s="8" t="n"/>
      <c r="L83" s="8" t="n"/>
      <c r="O83" s="8" t="n"/>
      <c r="R83" s="8" t="n"/>
      <c r="S83" s="8" t="n"/>
      <c r="Y83" s="8" t="n"/>
      <c r="AA83" s="8" t="n"/>
      <c r="AH83" s="8" t="n"/>
      <c r="AI83" s="8" t="n"/>
      <c r="AR83" s="8" t="n"/>
    </row>
    <row r="84" ht="15.75" customHeight="1">
      <c r="F84" s="8" t="n"/>
      <c r="J84" s="8" t="n"/>
      <c r="L84" s="8" t="n"/>
      <c r="O84" s="8" t="n"/>
      <c r="R84" s="8" t="n"/>
      <c r="S84" s="8" t="n"/>
      <c r="Y84" s="8" t="n"/>
      <c r="AA84" s="8" t="n"/>
      <c r="AH84" s="8" t="n"/>
      <c r="AI84" s="8" t="n"/>
      <c r="AR84" s="8" t="n"/>
    </row>
    <row r="85" ht="15.75" customHeight="1">
      <c r="F85" s="8" t="n"/>
      <c r="J85" s="8" t="n"/>
      <c r="L85" s="8" t="n"/>
      <c r="O85" s="8" t="n"/>
      <c r="R85" s="8" t="n"/>
      <c r="S85" s="8" t="n"/>
      <c r="Y85" s="8" t="n"/>
      <c r="AA85" s="8" t="n"/>
      <c r="AH85" s="8" t="n"/>
      <c r="AI85" s="8" t="n"/>
      <c r="AR85" s="8" t="n"/>
    </row>
    <row r="86" ht="15.75" customHeight="1">
      <c r="F86" s="8" t="n"/>
      <c r="J86" s="8" t="n"/>
      <c r="L86" s="8" t="n"/>
      <c r="O86" s="8" t="n"/>
      <c r="R86" s="8" t="n"/>
      <c r="S86" s="8" t="n"/>
      <c r="Y86" s="8" t="n"/>
      <c r="AA86" s="8" t="n"/>
      <c r="AH86" s="8" t="n"/>
      <c r="AI86" s="8" t="n"/>
      <c r="AR86" s="8" t="n"/>
    </row>
    <row r="87" ht="15.75" customHeight="1">
      <c r="F87" s="8" t="n"/>
      <c r="J87" s="8" t="n"/>
      <c r="L87" s="8" t="n"/>
      <c r="O87" s="8" t="n"/>
      <c r="R87" s="8" t="n"/>
      <c r="S87" s="8" t="n"/>
      <c r="Y87" s="8" t="n"/>
      <c r="AA87" s="8" t="n"/>
      <c r="AH87" s="8" t="n"/>
      <c r="AI87" s="8" t="n"/>
      <c r="AR87" s="8" t="n"/>
    </row>
    <row r="88" ht="15.75" customHeight="1">
      <c r="F88" s="8" t="n"/>
      <c r="J88" s="8" t="n"/>
      <c r="L88" s="8" t="n"/>
      <c r="O88" s="8" t="n"/>
      <c r="R88" s="8" t="n"/>
      <c r="S88" s="8" t="n"/>
      <c r="Y88" s="8" t="n"/>
      <c r="AA88" s="8" t="n"/>
      <c r="AH88" s="8" t="n"/>
      <c r="AI88" s="8" t="n"/>
      <c r="AR88" s="8" t="n"/>
    </row>
    <row r="89" ht="15.75" customHeight="1">
      <c r="F89" s="8" t="n"/>
      <c r="J89" s="8" t="n"/>
      <c r="L89" s="8" t="n"/>
      <c r="O89" s="8" t="n"/>
      <c r="R89" s="8" t="n"/>
      <c r="S89" s="8" t="n"/>
      <c r="Y89" s="8" t="n"/>
      <c r="AA89" s="8" t="n"/>
      <c r="AH89" s="8" t="n"/>
      <c r="AI89" s="8" t="n"/>
      <c r="AR89" s="8" t="n"/>
    </row>
    <row r="90" ht="15.75" customHeight="1">
      <c r="F90" s="8" t="n"/>
      <c r="J90" s="8" t="n"/>
      <c r="L90" s="8" t="n"/>
      <c r="O90" s="8" t="n"/>
      <c r="R90" s="8" t="n"/>
      <c r="S90" s="8" t="n"/>
      <c r="Y90" s="8" t="n"/>
      <c r="AA90" s="8" t="n"/>
      <c r="AH90" s="8" t="n"/>
      <c r="AI90" s="8" t="n"/>
      <c r="AR90" s="8" t="n"/>
    </row>
    <row r="91" ht="15.75" customHeight="1">
      <c r="F91" s="8" t="n"/>
      <c r="J91" s="8" t="n"/>
      <c r="L91" s="8" t="n"/>
      <c r="O91" s="8" t="n"/>
      <c r="R91" s="8" t="n"/>
      <c r="S91" s="8" t="n"/>
      <c r="Y91" s="8" t="n"/>
      <c r="AA91" s="8" t="n"/>
      <c r="AH91" s="8" t="n"/>
      <c r="AI91" s="8" t="n"/>
      <c r="AR91" s="8" t="n"/>
    </row>
    <row r="92" ht="15.75" customHeight="1">
      <c r="F92" s="8" t="n"/>
      <c r="J92" s="8" t="n"/>
      <c r="L92" s="8" t="n"/>
      <c r="O92" s="8" t="n"/>
      <c r="R92" s="8" t="n"/>
      <c r="S92" s="8" t="n"/>
      <c r="Y92" s="8" t="n"/>
      <c r="AA92" s="8" t="n"/>
      <c r="AH92" s="8" t="n"/>
      <c r="AI92" s="8" t="n"/>
      <c r="AR92" s="8" t="n"/>
    </row>
    <row r="93" ht="15.75" customHeight="1">
      <c r="F93" s="8" t="n"/>
      <c r="J93" s="8" t="n"/>
      <c r="L93" s="8" t="n"/>
      <c r="O93" s="8" t="n"/>
      <c r="R93" s="8" t="n"/>
      <c r="S93" s="8" t="n"/>
      <c r="Y93" s="8" t="n"/>
      <c r="AA93" s="8" t="n"/>
      <c r="AH93" s="8" t="n"/>
      <c r="AI93" s="8" t="n"/>
      <c r="AR93" s="8" t="n"/>
    </row>
    <row r="94" ht="15.75" customHeight="1">
      <c r="F94" s="8" t="n"/>
      <c r="J94" s="8" t="n"/>
      <c r="L94" s="8" t="n"/>
      <c r="O94" s="8" t="n"/>
      <c r="R94" s="8" t="n"/>
      <c r="S94" s="8" t="n"/>
      <c r="Y94" s="8" t="n"/>
      <c r="AA94" s="8" t="n"/>
      <c r="AH94" s="8" t="n"/>
      <c r="AI94" s="8" t="n"/>
      <c r="AR94" s="8" t="n"/>
    </row>
    <row r="95" ht="15.75" customHeight="1">
      <c r="F95" s="8" t="n"/>
      <c r="J95" s="8" t="n"/>
      <c r="L95" s="8" t="n"/>
      <c r="O95" s="8" t="n"/>
      <c r="R95" s="8" t="n"/>
      <c r="S95" s="8" t="n"/>
      <c r="Y95" s="8" t="n"/>
      <c r="AA95" s="8" t="n"/>
      <c r="AH95" s="8" t="n"/>
      <c r="AI95" s="8" t="n"/>
      <c r="AR95" s="8" t="n"/>
    </row>
    <row r="96" ht="15.75" customHeight="1">
      <c r="F96" s="8" t="n"/>
      <c r="J96" s="8" t="n"/>
      <c r="L96" s="8" t="n"/>
      <c r="O96" s="8" t="n"/>
      <c r="R96" s="8" t="n"/>
      <c r="S96" s="8" t="n"/>
      <c r="Y96" s="8" t="n"/>
      <c r="AA96" s="8" t="n"/>
      <c r="AH96" s="8" t="n"/>
      <c r="AI96" s="8" t="n"/>
      <c r="AR96" s="8" t="n"/>
    </row>
    <row r="97" ht="15.75" customHeight="1">
      <c r="F97" s="8" t="n"/>
      <c r="J97" s="8" t="n"/>
      <c r="L97" s="8" t="n"/>
      <c r="O97" s="8" t="n"/>
      <c r="R97" s="8" t="n"/>
      <c r="S97" s="8" t="n"/>
      <c r="Y97" s="8" t="n"/>
      <c r="AA97" s="8" t="n"/>
      <c r="AH97" s="8" t="n"/>
      <c r="AI97" s="8" t="n"/>
      <c r="AR97" s="8" t="n"/>
    </row>
    <row r="98" ht="15.75" customHeight="1">
      <c r="F98" s="8" t="n"/>
      <c r="J98" s="8" t="n"/>
      <c r="L98" s="8" t="n"/>
      <c r="O98" s="8" t="n"/>
      <c r="R98" s="8" t="n"/>
      <c r="S98" s="8" t="n"/>
      <c r="Y98" s="8" t="n"/>
      <c r="AA98" s="8" t="n"/>
      <c r="AH98" s="8" t="n"/>
      <c r="AI98" s="8" t="n"/>
      <c r="AR98" s="8" t="n"/>
    </row>
    <row r="99" ht="15.75" customHeight="1">
      <c r="F99" s="8" t="n"/>
      <c r="J99" s="8" t="n"/>
      <c r="L99" s="8" t="n"/>
      <c r="O99" s="8" t="n"/>
      <c r="R99" s="8" t="n"/>
      <c r="S99" s="8" t="n"/>
      <c r="Y99" s="8" t="n"/>
      <c r="AA99" s="8" t="n"/>
      <c r="AH99" s="8" t="n"/>
      <c r="AI99" s="8" t="n"/>
      <c r="AR99" s="8" t="n"/>
    </row>
    <row r="100" ht="15.75" customHeight="1">
      <c r="F100" s="8" t="n"/>
      <c r="J100" s="8" t="n"/>
      <c r="L100" s="8" t="n"/>
      <c r="O100" s="8" t="n"/>
      <c r="R100" s="8" t="n"/>
      <c r="S100" s="8" t="n"/>
      <c r="Y100" s="8" t="n"/>
      <c r="AA100" s="8" t="n"/>
      <c r="AH100" s="8" t="n"/>
      <c r="AI100" s="8" t="n"/>
      <c r="AR100" s="8" t="n"/>
    </row>
    <row r="101" ht="15.75" customHeight="1">
      <c r="F101" s="8" t="n"/>
      <c r="J101" s="8" t="n"/>
      <c r="L101" s="8" t="n"/>
      <c r="O101" s="8" t="n"/>
      <c r="R101" s="8" t="n"/>
      <c r="S101" s="8" t="n"/>
      <c r="Y101" s="8" t="n"/>
      <c r="AA101" s="8" t="n"/>
      <c r="AH101" s="8" t="n"/>
      <c r="AI101" s="8" t="n"/>
      <c r="AR101" s="8" t="n"/>
    </row>
    <row r="102" ht="15.75" customHeight="1">
      <c r="F102" s="8" t="n"/>
      <c r="J102" s="8" t="n"/>
      <c r="L102" s="8" t="n"/>
      <c r="O102" s="8" t="n"/>
      <c r="R102" s="8" t="n"/>
      <c r="S102" s="8" t="n"/>
      <c r="Y102" s="8" t="n"/>
      <c r="AA102" s="8" t="n"/>
      <c r="AH102" s="8" t="n"/>
      <c r="AI102" s="8" t="n"/>
      <c r="AR102" s="8" t="n"/>
    </row>
    <row r="103" ht="15.75" customHeight="1">
      <c r="F103" s="8" t="n"/>
      <c r="J103" s="8" t="n"/>
      <c r="L103" s="8" t="n"/>
      <c r="O103" s="8" t="n"/>
      <c r="R103" s="8" t="n"/>
      <c r="S103" s="8" t="n"/>
      <c r="Y103" s="8" t="n"/>
      <c r="AA103" s="8" t="n"/>
      <c r="AH103" s="8" t="n"/>
      <c r="AI103" s="8" t="n"/>
      <c r="AR103" s="8" t="n"/>
    </row>
    <row r="104" ht="15.75" customHeight="1">
      <c r="F104" s="8" t="n"/>
      <c r="J104" s="8" t="n"/>
      <c r="L104" s="8" t="n"/>
      <c r="O104" s="8" t="n"/>
      <c r="R104" s="8" t="n"/>
      <c r="S104" s="8" t="n"/>
      <c r="Y104" s="8" t="n"/>
      <c r="AA104" s="8" t="n"/>
      <c r="AH104" s="8" t="n"/>
      <c r="AI104" s="8" t="n"/>
      <c r="AR104" s="8" t="n"/>
    </row>
    <row r="105" ht="15.75" customHeight="1">
      <c r="F105" s="8" t="n"/>
      <c r="J105" s="8" t="n"/>
      <c r="L105" s="8" t="n"/>
      <c r="O105" s="8" t="n"/>
      <c r="R105" s="8" t="n"/>
      <c r="S105" s="8" t="n"/>
      <c r="Y105" s="8" t="n"/>
      <c r="AA105" s="8" t="n"/>
      <c r="AH105" s="8" t="n"/>
      <c r="AI105" s="8" t="n"/>
      <c r="AR105" s="8" t="n"/>
    </row>
    <row r="106" ht="15.75" customHeight="1">
      <c r="F106" s="8" t="n"/>
      <c r="J106" s="8" t="n"/>
      <c r="L106" s="8" t="n"/>
      <c r="O106" s="8" t="n"/>
      <c r="R106" s="8" t="n"/>
      <c r="S106" s="8" t="n"/>
      <c r="Y106" s="8" t="n"/>
      <c r="AA106" s="8" t="n"/>
      <c r="AH106" s="8" t="n"/>
      <c r="AI106" s="8" t="n"/>
      <c r="AR106" s="8" t="n"/>
    </row>
    <row r="107" ht="15.75" customHeight="1">
      <c r="F107" s="8" t="n"/>
      <c r="J107" s="8" t="n"/>
      <c r="L107" s="8" t="n"/>
      <c r="O107" s="8" t="n"/>
      <c r="R107" s="8" t="n"/>
      <c r="S107" s="8" t="n"/>
      <c r="Y107" s="8" t="n"/>
      <c r="AA107" s="8" t="n"/>
      <c r="AH107" s="8" t="n"/>
      <c r="AI107" s="8" t="n"/>
      <c r="AR107" s="8" t="n"/>
    </row>
    <row r="108" ht="15.75" customHeight="1">
      <c r="F108" s="8" t="n"/>
      <c r="J108" s="8" t="n"/>
      <c r="L108" s="8" t="n"/>
      <c r="O108" s="8" t="n"/>
      <c r="R108" s="8" t="n"/>
      <c r="S108" s="8" t="n"/>
      <c r="Y108" s="8" t="n"/>
      <c r="AA108" s="8" t="n"/>
      <c r="AH108" s="8" t="n"/>
      <c r="AI108" s="8" t="n"/>
      <c r="AR108" s="8" t="n"/>
    </row>
    <row r="109" ht="15.75" customHeight="1">
      <c r="F109" s="8" t="n"/>
      <c r="J109" s="8" t="n"/>
      <c r="L109" s="8" t="n"/>
      <c r="O109" s="8" t="n"/>
      <c r="R109" s="8" t="n"/>
      <c r="S109" s="8" t="n"/>
      <c r="Y109" s="8" t="n"/>
      <c r="AA109" s="8" t="n"/>
      <c r="AH109" s="8" t="n"/>
      <c r="AI109" s="8" t="n"/>
      <c r="AR109" s="8" t="n"/>
    </row>
    <row r="110" ht="15.75" customHeight="1">
      <c r="F110" s="8" t="n"/>
      <c r="J110" s="8" t="n"/>
      <c r="L110" s="8" t="n"/>
      <c r="O110" s="8" t="n"/>
      <c r="R110" s="8" t="n"/>
      <c r="S110" s="8" t="n"/>
      <c r="Y110" s="8" t="n"/>
      <c r="AA110" s="8" t="n"/>
      <c r="AH110" s="8" t="n"/>
      <c r="AI110" s="8" t="n"/>
      <c r="AR110" s="8" t="n"/>
    </row>
    <row r="111" ht="15.75" customHeight="1">
      <c r="F111" s="8" t="n"/>
      <c r="J111" s="8" t="n"/>
      <c r="L111" s="8" t="n"/>
      <c r="O111" s="8" t="n"/>
      <c r="R111" s="8" t="n"/>
      <c r="S111" s="8" t="n"/>
      <c r="Y111" s="8" t="n"/>
      <c r="AA111" s="8" t="n"/>
      <c r="AH111" s="8" t="n"/>
      <c r="AI111" s="8" t="n"/>
      <c r="AR111" s="8" t="n"/>
    </row>
    <row r="112" ht="15.75" customHeight="1">
      <c r="F112" s="8" t="n"/>
      <c r="J112" s="8" t="n"/>
      <c r="L112" s="8" t="n"/>
      <c r="O112" s="8" t="n"/>
      <c r="R112" s="8" t="n"/>
      <c r="S112" s="8" t="n"/>
      <c r="Y112" s="8" t="n"/>
      <c r="AA112" s="8" t="n"/>
      <c r="AH112" s="8" t="n"/>
      <c r="AI112" s="8" t="n"/>
      <c r="AR112" s="8" t="n"/>
    </row>
    <row r="113" ht="15.75" customHeight="1">
      <c r="F113" s="8" t="n"/>
      <c r="J113" s="8" t="n"/>
      <c r="L113" s="8" t="n"/>
      <c r="O113" s="8" t="n"/>
      <c r="R113" s="8" t="n"/>
      <c r="S113" s="8" t="n"/>
      <c r="Y113" s="8" t="n"/>
      <c r="AA113" s="8" t="n"/>
      <c r="AH113" s="8" t="n"/>
      <c r="AI113" s="8" t="n"/>
      <c r="AR113" s="8" t="n"/>
    </row>
    <row r="114" ht="15.75" customHeight="1">
      <c r="F114" s="8" t="n"/>
      <c r="J114" s="8" t="n"/>
      <c r="L114" s="8" t="n"/>
      <c r="O114" s="8" t="n"/>
      <c r="R114" s="8" t="n"/>
      <c r="S114" s="8" t="n"/>
      <c r="Y114" s="8" t="n"/>
      <c r="AA114" s="8" t="n"/>
      <c r="AH114" s="8" t="n"/>
      <c r="AI114" s="8" t="n"/>
      <c r="AR114" s="8" t="n"/>
    </row>
    <row r="115" ht="15.75" customHeight="1">
      <c r="F115" s="8" t="n"/>
      <c r="J115" s="8" t="n"/>
      <c r="L115" s="8" t="n"/>
      <c r="O115" s="8" t="n"/>
      <c r="R115" s="8" t="n"/>
      <c r="S115" s="8" t="n"/>
      <c r="Y115" s="8" t="n"/>
      <c r="AA115" s="8" t="n"/>
      <c r="AH115" s="8" t="n"/>
      <c r="AI115" s="8" t="n"/>
      <c r="AR115" s="8" t="n"/>
    </row>
    <row r="116" ht="15.75" customHeight="1">
      <c r="F116" s="8" t="n"/>
      <c r="J116" s="8" t="n"/>
      <c r="L116" s="8" t="n"/>
      <c r="O116" s="8" t="n"/>
      <c r="R116" s="8" t="n"/>
      <c r="S116" s="8" t="n"/>
      <c r="Y116" s="8" t="n"/>
      <c r="AA116" s="8" t="n"/>
      <c r="AH116" s="8" t="n"/>
      <c r="AI116" s="8" t="n"/>
      <c r="AR116" s="8" t="n"/>
    </row>
    <row r="117" ht="15.75" customHeight="1">
      <c r="F117" s="8" t="n"/>
      <c r="J117" s="8" t="n"/>
      <c r="L117" s="8" t="n"/>
      <c r="O117" s="8" t="n"/>
      <c r="R117" s="8" t="n"/>
      <c r="S117" s="8" t="n"/>
      <c r="Y117" s="8" t="n"/>
      <c r="AA117" s="8" t="n"/>
      <c r="AH117" s="8" t="n"/>
      <c r="AI117" s="8" t="n"/>
      <c r="AR117" s="8" t="n"/>
    </row>
    <row r="118" ht="15.75" customHeight="1">
      <c r="F118" s="8" t="n"/>
      <c r="J118" s="8" t="n"/>
      <c r="L118" s="8" t="n"/>
      <c r="O118" s="8" t="n"/>
      <c r="R118" s="8" t="n"/>
      <c r="S118" s="8" t="n"/>
      <c r="Y118" s="8" t="n"/>
      <c r="AA118" s="8" t="n"/>
      <c r="AH118" s="8" t="n"/>
      <c r="AI118" s="8" t="n"/>
      <c r="AR118" s="8" t="n"/>
    </row>
    <row r="119" ht="15.75" customHeight="1">
      <c r="F119" s="8" t="n"/>
      <c r="J119" s="8" t="n"/>
      <c r="L119" s="8" t="n"/>
      <c r="O119" s="8" t="n"/>
      <c r="R119" s="8" t="n"/>
      <c r="S119" s="8" t="n"/>
      <c r="Y119" s="8" t="n"/>
      <c r="AA119" s="8" t="n"/>
      <c r="AH119" s="8" t="n"/>
      <c r="AI119" s="8" t="n"/>
      <c r="AR119" s="8" t="n"/>
    </row>
    <row r="120" ht="15.75" customHeight="1">
      <c r="F120" s="8" t="n"/>
      <c r="J120" s="8" t="n"/>
      <c r="L120" s="8" t="n"/>
      <c r="O120" s="8" t="n"/>
      <c r="R120" s="8" t="n"/>
      <c r="S120" s="8" t="n"/>
      <c r="Y120" s="8" t="n"/>
      <c r="AA120" s="8" t="n"/>
      <c r="AH120" s="8" t="n"/>
      <c r="AI120" s="8" t="n"/>
      <c r="AR120" s="8" t="n"/>
    </row>
    <row r="121" ht="15.75" customHeight="1">
      <c r="F121" s="8" t="n"/>
      <c r="J121" s="8" t="n"/>
      <c r="L121" s="8" t="n"/>
      <c r="O121" s="8" t="n"/>
      <c r="R121" s="8" t="n"/>
      <c r="S121" s="8" t="n"/>
      <c r="Y121" s="8" t="n"/>
      <c r="AA121" s="8" t="n"/>
      <c r="AH121" s="8" t="n"/>
      <c r="AI121" s="8" t="n"/>
      <c r="AR121" s="8" t="n"/>
    </row>
    <row r="122" ht="15.75" customHeight="1">
      <c r="F122" s="8" t="n"/>
      <c r="J122" s="8" t="n"/>
      <c r="L122" s="8" t="n"/>
      <c r="O122" s="8" t="n"/>
      <c r="R122" s="8" t="n"/>
      <c r="S122" s="8" t="n"/>
      <c r="Y122" s="8" t="n"/>
      <c r="AA122" s="8" t="n"/>
      <c r="AH122" s="8" t="n"/>
      <c r="AI122" s="8" t="n"/>
      <c r="AR122" s="8" t="n"/>
    </row>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sheetData>
  <autoFilter ref="A1:AU3"/>
  <conditionalFormatting sqref="K8 K11 K25:K26 K29:K1022">
    <cfRule type="colorScale" priority="10">
      <colorScale>
        <cfvo type="min"/>
        <cfvo type="percentile" val="50"/>
        <cfvo type="max"/>
        <color rgb="FF5A8AC6"/>
        <color rgb="FFFCFCFF"/>
        <color rgb="FFF8696B"/>
      </colorScale>
    </cfRule>
    <cfRule type="colorScale" priority="11">
      <colorScale>
        <cfvo type="min"/>
        <cfvo type="percentile" val="50"/>
        <cfvo type="max"/>
        <color rgb="FF5A8AC6"/>
        <color rgb="FFFCFCFF"/>
        <color rgb="FFF8696B"/>
      </colorScale>
    </cfRule>
  </conditionalFormatting>
  <conditionalFormatting sqref="AH2:AH1022">
    <cfRule type="containsText" priority="1" operator="containsText" dxfId="4" text="Alta">
      <formula>NOT(ISERROR(SEARCH(("Alta"),(AH2))))</formula>
    </cfRule>
    <cfRule type="containsText" priority="2" operator="containsText" dxfId="2" text="Media ">
      <formula>NOT(ISERROR(SEARCH(("Media "),(AH2))))</formula>
    </cfRule>
    <cfRule type="containsText" priority="3" operator="containsText" dxfId="6" text="Baja ">
      <formula>NOT(ISERROR(SEARCH(("Baja "),(AH2))))</formula>
    </cfRule>
    <cfRule type="containsText" priority="4" operator="containsText" dxfId="5" text="Muy Baja">
      <formula>NOT(ISERROR(SEARCH(("Muy Baja"),(AH2))))</formula>
    </cfRule>
  </conditionalFormatting>
  <conditionalFormatting sqref="AR2:AR1022">
    <cfRule type="containsText" priority="5" operator="containsText" dxfId="4" text="Analizado">
      <formula>NOT(ISERROR(SEARCH(("Analizado"),(AR2))))</formula>
    </cfRule>
    <cfRule type="containsText" priority="6" operator="containsText" dxfId="3" text="Lectura completa">
      <formula>NOT(ISERROR(SEARCH(("Lectura completa"),(AR2))))</formula>
    </cfRule>
    <cfRule type="containsText" priority="7" operator="containsText" dxfId="2" text="Abstract leído">
      <formula>NOT(ISERROR(SEARCH(("Abstract leído"),(AR2))))</formula>
    </cfRule>
    <cfRule type="containsText" priority="8" operator="containsText" dxfId="1" text="No leído">
      <formula>NOT(ISERROR(SEARCH(("No leído"),(AR2))))</formula>
    </cfRule>
    <cfRule type="containsText" priority="9" operator="containsText" dxfId="0" text="Descartado">
      <formula>NOT(ISERROR(SEARCH(("Descartado"),(AR2))))</formula>
    </cfRule>
  </conditionalFormatting>
  <dataValidations count="11">
    <dataValidation sqref="AI2:AI26 AI29:AI122" showDropDown="0" showInputMessage="0" showErrorMessage="1" allowBlank="1" type="list">
      <formula1>"1-Introducción,2-Fundamentos,3-Metodología,4.1-Algoritmos PSO,4.2-Algoritmos ACO,4.3-Algoritmos Otros,5-Análisis Comparativo,6.1-Agricultura,6.2-Inspección,7-Desafíos,8-Futuro,9-Conclusión,Multiple,No citar"</formula1>
    </dataValidation>
    <dataValidation sqref="F2:F26 F29:F122" showDropDown="0" showInputMessage="0" showErrorMessage="1" allowBlank="1" type="list">
      <formula1>"Journal,Conference,Review,Book Chapter,Preprint"</formula1>
    </dataValidation>
    <dataValidation sqref="AA2:AA26 AA29:AA122" showDropDown="0" showInputMessage="0" showErrorMessage="1" allowBlank="1" type="list">
      <formula1>"No,Sí-Laboratorio,Sí-Campo,Sí-Ambos"</formula1>
    </dataValidation>
    <dataValidation sqref="Y2:Y26 Y29:Y122" showDropDown="0" showInputMessage="0" showErrorMessage="1" allowBlank="1" type="list">
      <formula1>"Solo Simulación,Solo Experimentos,Simulación+Experimentos,Revisión Teórica"</formula1>
    </dataValidation>
    <dataValidation sqref="AR2:AR20 AR25:AR26 AR29:AR122" showDropDown="0" showInputMessage="0" showErrorMessage="1" allowBlank="1" type="list">
      <formula1>"No leído,Abstract leído,Lectura completa,Analizado,Descartado"</formula1>
    </dataValidation>
    <dataValidation sqref="AH2:AH26 AH29:AH122" showDropDown="0" showInputMessage="0" showErrorMessage="1" allowBlank="1" type="list">
      <formula1>"Alta,Media,Baja,Muy Baja"</formula1>
    </dataValidation>
    <dataValidation sqref="L2:L26 L29:L122" showDropDown="0" showInputMessage="0" showErrorMessage="1" allowBlank="1" type="list">
      <formula1>"PSO,ACO,ABC,GA,Firefly,Bat,Cuckoo Search,Grey Wolf,Whale Optimization,Hybrid,Otro"</formula1>
    </dataValidation>
    <dataValidation sqref="S2 S8 S11 S25:S26 S29:S122" showDropDown="0" showInputMessage="0" showErrorMessage="1" allowBlank="1" type="list">
      <formula1>"No,Sí-Estáticos,Sí-Dinámicos,Sí-Ambos"</formula1>
    </dataValidation>
    <dataValidation sqref="J2:J26 J29:J122" showDropDown="0" showInputMessage="0" showErrorMessage="1" allowBlank="1" type="list">
      <formula1>"IEEE Xplore,SpringerLink,ScienceDirect,ACM Digital Library,arXiv,Google Scholar,ResearchGate,Otro"</formula1>
    </dataValidation>
    <dataValidation sqref="O2:O26 O29:O122" showDropDown="0" showInputMessage="0" showErrorMessage="1" allowBlank="1" type="list">
      <formula1>"Agricultura Precisión,Inspección Industrial,Vigilancia,Búsqueda-Rescate,Mapeo,Logística,Militar,Otro"</formula1>
    </dataValidation>
    <dataValidation sqref="R2:R26 R29:R122" showDropDown="0" showInputMessage="0" showErrorMessage="1" allowBlank="1" type="list">
      <formula1>"2D-Estático,2D-Dinámico,3D-Estático,3D-Dinámico,4D (Tiempo-Espacio)"</formula1>
    </dataValidation>
  </dataValidations>
  <hyperlinks>
    <hyperlink xmlns:r="http://schemas.openxmlformats.org/officeDocument/2006/relationships" ref="H2" r:id="rId1"/>
    <hyperlink xmlns:r="http://schemas.openxmlformats.org/officeDocument/2006/relationships" ref="I2" r:id="rId2"/>
    <hyperlink xmlns:r="http://schemas.openxmlformats.org/officeDocument/2006/relationships" ref="H4" r:id="rId3"/>
    <hyperlink xmlns:r="http://schemas.openxmlformats.org/officeDocument/2006/relationships" ref="I4" r:id="rId4"/>
    <hyperlink xmlns:r="http://schemas.openxmlformats.org/officeDocument/2006/relationships" ref="H5" r:id="rId5"/>
    <hyperlink xmlns:r="http://schemas.openxmlformats.org/officeDocument/2006/relationships" ref="I5" r:id="rId6"/>
    <hyperlink xmlns:r="http://schemas.openxmlformats.org/officeDocument/2006/relationships" ref="I8" r:id="rId7"/>
    <hyperlink xmlns:r="http://schemas.openxmlformats.org/officeDocument/2006/relationships" ref="I9" r:id="rId8"/>
    <hyperlink xmlns:r="http://schemas.openxmlformats.org/officeDocument/2006/relationships" ref="H10" r:id="rId9"/>
    <hyperlink xmlns:r="http://schemas.openxmlformats.org/officeDocument/2006/relationships" ref="I11" r:id="rId10"/>
    <hyperlink xmlns:r="http://schemas.openxmlformats.org/officeDocument/2006/relationships" ref="I12" r:id="rId11"/>
    <hyperlink xmlns:r="http://schemas.openxmlformats.org/officeDocument/2006/relationships" ref="H13" r:id="rId12"/>
    <hyperlink xmlns:r="http://schemas.openxmlformats.org/officeDocument/2006/relationships" ref="I13" r:id="rId13"/>
    <hyperlink xmlns:r="http://schemas.openxmlformats.org/officeDocument/2006/relationships" ref="I14" r:id="rId14"/>
    <hyperlink xmlns:r="http://schemas.openxmlformats.org/officeDocument/2006/relationships" ref="I15" r:id="rId15"/>
    <hyperlink xmlns:r="http://schemas.openxmlformats.org/officeDocument/2006/relationships" ref="I16" r:id="rId16"/>
    <hyperlink xmlns:r="http://schemas.openxmlformats.org/officeDocument/2006/relationships" ref="I17" r:id="rId17"/>
    <hyperlink xmlns:r="http://schemas.openxmlformats.org/officeDocument/2006/relationships" ref="H18" r:id="rId18"/>
    <hyperlink xmlns:r="http://schemas.openxmlformats.org/officeDocument/2006/relationships" ref="I18" r:id="rId19"/>
    <hyperlink xmlns:r="http://schemas.openxmlformats.org/officeDocument/2006/relationships" ref="H19" r:id="rId20"/>
    <hyperlink xmlns:r="http://schemas.openxmlformats.org/officeDocument/2006/relationships" ref="I19" r:id="rId21"/>
    <hyperlink xmlns:r="http://schemas.openxmlformats.org/officeDocument/2006/relationships" ref="H20" r:id="rId22"/>
    <hyperlink xmlns:r="http://schemas.openxmlformats.org/officeDocument/2006/relationships" ref="I20" r:id="rId23"/>
  </hyperlinks>
  <pageMargins left="0" right="0" top="0" bottom="0" header="0" footer="0"/>
  <pageSetup orientation="landscape"/>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ColWidth="11.25" defaultRowHeight="15" customHeight="1"/>
  <cols>
    <col width="8.5" customWidth="1" min="1" max="26"/>
  </cols>
  <sheetData>
    <row r="1" ht="15.75" customHeight="1">
      <c r="A1" s="8">
        <f>"Papers con Algoritmo PSO"</f>
        <v/>
      </c>
    </row>
    <row r="2" ht="15.75" customHeight="1">
      <c r="A2" t="inlineStr">
        <is>
          <t>ID</t>
        </is>
      </c>
      <c r="B2" t="inlineStr">
        <is>
          <t>Título Completo</t>
        </is>
      </c>
      <c r="C2" t="inlineStr">
        <is>
          <t>Autores</t>
        </is>
      </c>
      <c r="D2" t="inlineStr">
        <is>
          <t>Año</t>
        </is>
      </c>
      <c r="E2" t="inlineStr">
        <is>
          <t>Fuente</t>
        </is>
      </c>
      <c r="F2" t="inlineStr">
        <is>
          <t>Tipo Publicación</t>
        </is>
      </c>
      <c r="G2" t="inlineStr">
        <is>
          <t>Factor Impacto</t>
        </is>
      </c>
      <c r="H2" t="inlineStr">
        <is>
          <t>DOI</t>
        </is>
      </c>
      <c r="I2" t="inlineStr">
        <is>
          <t>URL</t>
        </is>
      </c>
      <c r="J2" t="inlineStr">
        <is>
          <t>Base de Datos</t>
        </is>
      </c>
      <c r="K2" t="inlineStr">
        <is>
          <t>Citaciones</t>
        </is>
      </c>
      <c r="L2" t="inlineStr">
        <is>
          <t>Algoritmo Principal</t>
        </is>
      </c>
      <c r="M2" t="inlineStr">
        <is>
          <t>Algoritmo Secundario</t>
        </is>
      </c>
      <c r="N2" t="inlineStr">
        <is>
          <t>Variante Específica</t>
        </is>
      </c>
      <c r="O2" t="inlineStr">
        <is>
          <t>Aplicación Principal</t>
        </is>
      </c>
      <c r="P2" t="inlineStr">
        <is>
          <t>Aplicación Específica</t>
        </is>
      </c>
      <c r="Q2" t="inlineStr">
        <is>
          <t>Tamaño Flota</t>
        </is>
      </c>
      <c r="R2" t="inlineStr">
        <is>
          <t>Tipo Ambiente</t>
        </is>
      </c>
      <c r="S2" t="inlineStr">
        <is>
          <t>Obstáculos</t>
        </is>
      </c>
      <c r="T2" t="inlineStr">
        <is>
          <t>Métrica: Tiempo</t>
        </is>
      </c>
      <c r="U2" t="inlineStr">
        <is>
          <t>Métrica: Energía</t>
        </is>
      </c>
      <c r="V2" t="inlineStr">
        <is>
          <t>Métrica: Cobertura</t>
        </is>
      </c>
      <c r="W2" t="inlineStr">
        <is>
          <t>Métrica: Convergencia</t>
        </is>
      </c>
      <c r="X2" t="inlineStr">
        <is>
          <t>Complejidad Computacional</t>
        </is>
      </c>
      <c r="Y2" t="inlineStr">
        <is>
          <t>Validación</t>
        </is>
      </c>
      <c r="Z2" t="inlineStr">
        <is>
          <t>Entorno Simulación</t>
        </is>
      </c>
      <c r="AA2" t="inlineStr">
        <is>
          <t>Pruebas Reales</t>
        </is>
      </c>
      <c r="AB2" t="inlineStr">
        <is>
          <t>Tamaño Dataset</t>
        </is>
      </c>
      <c r="AC2" t="inlineStr">
        <is>
          <t>Ventajas Identificadas</t>
        </is>
      </c>
      <c r="AD2" t="inlineStr">
        <is>
          <t>Limitaciones</t>
        </is>
      </c>
      <c r="AE2" t="inlineStr">
        <is>
          <t>Comparación Con</t>
        </is>
      </c>
      <c r="AF2" t="inlineStr">
        <is>
          <t>Contribución Original</t>
        </is>
      </c>
      <c r="AG2" t="inlineStr">
        <is>
          <t>Trabajo Futuro</t>
        </is>
      </c>
      <c r="AH2" t="inlineStr">
        <is>
          <t>Relevancia</t>
        </is>
      </c>
      <c r="AI2" t="inlineStr">
        <is>
          <t>Sección Paper</t>
        </is>
      </c>
      <c r="AJ2" t="inlineStr">
        <is>
          <t>Citación BibTeX</t>
        </is>
      </c>
      <c r="AK2" t="inlineStr">
        <is>
          <t>Palabras Clave</t>
        </is>
      </c>
      <c r="AL2" t="inlineStr">
        <is>
          <t>Abstract Resumido</t>
        </is>
      </c>
      <c r="AM2" t="inlineStr">
        <is>
          <t>Figuras Relevantes</t>
        </is>
      </c>
      <c r="AN2" t="inlineStr">
        <is>
          <t>Citar: Introducción</t>
        </is>
      </c>
      <c r="AO2" t="inlineStr">
        <is>
          <t>Citar: Metodología</t>
        </is>
      </c>
      <c r="AP2" t="inlineStr">
        <is>
          <t>Citar: Análisis</t>
        </is>
      </c>
      <c r="AQ2" t="inlineStr">
        <is>
          <t>Citar: Conclusiones</t>
        </is>
      </c>
      <c r="AR2" t="inlineStr">
        <is>
          <t>Estado Lectura</t>
        </is>
      </c>
      <c r="AS2" t="inlineStr">
        <is>
          <t>Fecha Análisis</t>
        </is>
      </c>
      <c r="AT2" t="inlineStr">
        <is>
          <t>Notas Personales</t>
        </is>
      </c>
      <c r="AU2" t="inlineStr">
        <is>
          <t>Conflictos/Dudas</t>
        </is>
      </c>
    </row>
    <row r="3">
      <c r="A3" t="inlineStr">
        <is>
          <t>PAPER_006</t>
        </is>
      </c>
      <c r="B3" t="inlineStr">
        <is>
          <t>Implementation of Swarm Intelligence Algorithms for Path Planning</t>
        </is>
      </c>
      <c r="C3" t="inlineStr">
        <is>
          <t>Alex T Mathew, Ajay Paul, Akshay Rojan, Amith Thomas</t>
        </is>
      </c>
      <c r="D3" t="n">
        <v>2021</v>
      </c>
      <c r="E3" t="inlineStr">
        <is>
          <t>Journal of Physics: Conference Series, Volumen 1831</t>
        </is>
      </c>
      <c r="F3" t="inlineStr">
        <is>
          <t>Conference</t>
        </is>
      </c>
      <c r="G3" t="inlineStr">
        <is>
          <t>No mencionado en fuentes</t>
        </is>
      </c>
      <c r="H3" t="inlineStr">
        <is>
          <t>10.1088/1742-6596/1831/1/012008</t>
        </is>
      </c>
      <c r="I3" t="inlineStr">
        <is>
          <t>10.1088/1742-6596/1831/1/012008</t>
        </is>
      </c>
      <c r="J3" t="inlineStr">
        <is>
          <t>Otro</t>
        </is>
      </c>
      <c r="K3" t="inlineStr">
        <is>
          <t>No especifica número de citas</t>
        </is>
      </c>
      <c r="L3" t="inlineStr">
        <is>
          <t>PSO</t>
        </is>
      </c>
      <c r="M3" t="inlineStr">
        <is>
          <t>Algoritmo Híbrido (ACO + PSO)</t>
        </is>
      </c>
      <c r="N3" t="inlineStr">
        <is>
          <t>Enfoque híbrido donde ACO encuentra solución preliminar (nodos que atraviesan mapa evitando obstáculos) y PSO optimiza dicha solución tomándola como "global best" inicial</t>
        </is>
      </c>
      <c r="O3" t="inlineStr">
        <is>
          <t>Otro</t>
        </is>
      </c>
      <c r="P3" t="inlineStr">
        <is>
          <t>Navegación de sistemas multi-robot en terrenos desconocidos o con obstáculos</t>
        </is>
      </c>
      <c r="Q3" t="inlineStr">
        <is>
          <t>Menciona contexto multi-robot, simulaciones muestran trayectoria de único robot</t>
        </is>
      </c>
      <c r="R3" t="inlineStr">
        <is>
          <t>2D-Estático</t>
        </is>
      </c>
      <c r="S3" t="inlineStr">
        <is>
          <t>Muros y bloques negros que robot debe evitar para llegar a destino</t>
        </is>
      </c>
      <c r="T3" t="inlineStr">
        <is>
          <t>Tiempo de completado en segundos; algoritmo híbrido mostró tiempos variables, en ocasiones más lento pero más preciso</t>
        </is>
      </c>
      <c r="U3" t="inlineStr">
        <is>
          <t>No mencionada en fuentes</t>
        </is>
      </c>
      <c r="V3" t="inlineStr">
        <is>
          <t>No mencionada como métrica de optimización; estudio centrado en longitud del camino</t>
        </is>
      </c>
      <c r="W3" t="inlineStr">
        <is>
          <t>No se detalla matemáticamente, se discute capacidad de generar soluciones válidas en mapas complejos</t>
        </is>
      </c>
      <c r="X3" t="inlineStr">
        <is>
          <t>No especifica valor Big O, menciona muestreo de ruta para reducir requerimientos de memoria en algoritmo híbrido</t>
        </is>
      </c>
      <c r="Y3" t="inlineStr">
        <is>
          <t>Solo Simulación</t>
        </is>
      </c>
      <c r="Z3" t="inlineStr">
        <is>
          <t>Matlab Mobile Robotics Simulation Toolbox</t>
        </is>
      </c>
      <c r="AA3" t="inlineStr">
        <is>
          <t>No</t>
        </is>
      </c>
      <c r="AB3" t="inlineStr">
        <is>
          <t>No aplica; configuraciones de mapas de simulación (ej. puntos inicio y destinos variables)</t>
        </is>
      </c>
      <c r="AC3" t="inlineStr">
        <is>
          <t>Algoritmo híbrido dio mejores soluciones (rutas más cortas) en todas configuraciones probadas; ACO capaz de encontrar soluciones en mapas complejos donde PSO falla; PSO ofrece rutas más suaves y cortas en mapas menos complejos</t>
        </is>
      </c>
      <c r="AD3" t="inlineStr">
        <is>
          <t>PSO puede fallar en generar rutas válidas en mapas muy complejos por naturaleza de soluciones iniciales aleatorias; ACO suele generar rutas más largas comparado con PSO</t>
        </is>
      </c>
      <c r="AE3" t="inlineStr">
        <is>
          <t>Compara desempeño de PSO vs. ACO vs. Algoritmo Híbrido; menciona existencia de otros métodos como A*, D*, Campos de Potencial Artificial y RRT</t>
        </is>
      </c>
      <c r="AF3" t="inlineStr">
        <is>
          <t>Desarrollo e implementación de metodología híbrida que combina robustez de búsqueda de ACO con capacidad de optimización de PSO para mejorar planificación de rutas</t>
        </is>
      </c>
      <c r="AG3" t="inlineStr">
        <is>
          <t>Reducir número de muestras tomadas para optimización secundaria, simular en ambientes más diversos para ajustar parámetros como coeficientes de aprendizaje y tamaño de población</t>
        </is>
      </c>
      <c r="AH3" t="inlineStr">
        <is>
          <t>Baja</t>
        </is>
      </c>
      <c r="AI3" t="inlineStr">
        <is>
          <t>Multiple</t>
        </is>
      </c>
      <c r="AJ3" t="inlineStr">
        <is>
          <t>No presente en fuentes; puede construirse: @article{mathew2021implementation, title={Implementation of Swarm Intelligence Algorithms for Path Planning}, author={Mathew, Alex T and Paul, Ajay and Rojan, Akshay and Thomas, Amith}, journal={Journal of Physics: Conference Series}, volume={1831}, number={1}, pages={012008}, year={2021}, publisher={IOP Publishing}}</t>
        </is>
      </c>
      <c r="AK3" t="inlineStr">
        <is>
          <t>Swarm intelligence, Path planning, Particle Swarm Optimization (PSO), Ant Colony Optimization (ACO), Hybrid algorithm</t>
        </is>
      </c>
      <c r="AL3" t="inlineStr">
        <is>
          <t>El artículo investiga la navegación en terrenos desconocidos para sistemas multi-robot utilizando algoritmos de inteligencia de enjambre. Los autores implementan ACO y PSO para resolver el problema de planificación de rutas y proponen un nuevo método híbrido donde ACO genera una solución preliminar que PSO luego optimiza, mejorando significativamente el rendimiento y la brevedad de la ruta en comparación con los métodos individuales.</t>
        </is>
      </c>
      <c r="AM3" t="inlineStr">
        <is>
          <t xml:space="preserve">
    ◦ Figuras 1 a 10: Visualizaciones de las trayectorias del robot en un entorno con obstáculos, comparando el desempeño de PSO, ACO y el Algoritmo Híbrido desde un punto de inicio hacia diversos destinos.
    ◦ Tabla 1: Comparativa cuantitativa que incluye la longitud de la mejor ruta y el tiempo de completado en segundos para cada configuración.</t>
        </is>
      </c>
      <c r="AN3" t="inlineStr">
        <is>
          <t>Path planning is an important metric in evaluating the performance of multi-robot systems</t>
        </is>
      </c>
      <c r="AO3" t="inlineStr">
        <is>
          <t>This study takes a single parameter, the shortness of the path, as the quantity to be optimized</t>
        </is>
      </c>
      <c r="AP3" t="inlineStr">
        <is>
          <t>The hybrid algorithm, as shown by the comparison study, gave better solutions in every setting</t>
        </is>
      </c>
      <c r="AQ3" t="inlineStr">
        <is>
          <t>Further research needs to be conducted on the usage of swarm intelligence algorithms for pathfinding</t>
        </is>
      </c>
      <c r="AR3" t="inlineStr">
        <is>
          <t>Analizado</t>
        </is>
      </c>
      <c r="AS3" s="15" t="n">
        <v>46032</v>
      </c>
      <c r="AT3" t="inlineStr">
        <is>
          <t>Algoritmo híbrido parece resolver debilidad de PSO en entornos complejos al darle "guía" inicial mediante ACO</t>
        </is>
      </c>
      <c r="AU3" t="inlineStr">
        <is>
          <t>Fuentes no especifican detalles sobre consumo de energía ni complejidad computacional exacta en términos de tiempo de ejecución teórico</t>
        </is>
      </c>
    </row>
    <row r="4">
      <c r="A4" t="inlineStr">
        <is>
          <t>PAPER_009</t>
        </is>
      </c>
      <c r="B4" t="inlineStr">
        <is>
          <t>Safety-enhanced UAV path planning with spherical vector-based particle swarm optimization</t>
        </is>
      </c>
      <c r="C4" t="inlineStr">
        <is>
          <t>Manh Duong Phung, Quang Phuc Ha</t>
        </is>
      </c>
      <c r="D4" t="n">
        <v>2021</v>
      </c>
      <c r="E4" t="inlineStr">
        <is>
          <t>Applied Soft Computing Journal (Volumen 107)</t>
        </is>
      </c>
      <c r="F4" t="inlineStr">
        <is>
          <t>Journal</t>
        </is>
      </c>
      <c r="G4" t="inlineStr">
        <is>
          <t>No disponible explícitamente en fuentes</t>
        </is>
      </c>
      <c r="H4" t="inlineStr">
        <is>
          <t>https://doi.org/10.1016/j.asoc.2021.107376</t>
        </is>
      </c>
      <c r="I4" t="inlineStr">
        <is>
          <t>https://github.com/duongpm/SPSO (código fuente)</t>
        </is>
      </c>
      <c r="J4" t="inlineStr">
        <is>
          <t>ScienceDirect</t>
        </is>
      </c>
      <c r="K4" t="inlineStr">
        <is>
          <t>Incluye 48 referencias bibliográficas</t>
        </is>
      </c>
      <c r="L4" t="inlineStr">
        <is>
          <t>PSO</t>
        </is>
      </c>
      <c r="M4" t="inlineStr">
        <is>
          <t>Algoritmo Genético (GA), Colonia de Abejas Artificiales (ABC), Evolución Diferencial (DE) para comparación</t>
        </is>
      </c>
      <c r="N4" t="inlineStr">
        <is>
          <t>SPSO, que utiliza sistema de coordenadas esféricas para representar movimientos del UAV</t>
        </is>
      </c>
      <c r="O4" t="inlineStr">
        <is>
          <t>Mapeo</t>
        </is>
      </c>
      <c r="P4" t="inlineStr">
        <is>
          <t>Fotografía aérea, mapeo e inspección de superficies</t>
        </is>
      </c>
      <c r="Q4" t="inlineStr">
        <is>
          <t>Centrado en planificación para un solo UAV, validado con dron 3DR Solo</t>
        </is>
      </c>
      <c r="R4" t="inlineStr">
        <is>
          <t>3D-Dinámico</t>
        </is>
      </c>
      <c r="S4" t="inlineStr">
        <is>
          <t>Amenazas prescritas en cilindros y terreno irregular derivado de datos LiDAR</t>
        </is>
      </c>
      <c r="T4" t="inlineStr">
        <is>
          <t>Evalúa tiempo de computación (ventaja de PSO) y minimización de tiempo de vuelo</t>
        </is>
      </c>
      <c r="U4" t="inlineStr">
        <is>
          <t>Minimización de consumo de combustible, relacionado directamente con longitud de trayectoria</t>
        </is>
      </c>
      <c r="V4" t="inlineStr">
        <is>
          <t>Enfoque principal es seguridad y evitación de colisiones, no cobertura de área</t>
        </is>
      </c>
      <c r="W4" t="inlineStr">
        <is>
          <t>Análisis de estabilidad y velocidad de convergencia; SPSO muestra rendimiento superior frente a variantes como QPSO</t>
        </is>
      </c>
      <c r="X4" t="inlineStr">
        <is>
          <t>Analiza escalabilidad del algoritmo al aumentar número de puntos de ruta (waypoints) de 12 a 22</t>
        </is>
      </c>
      <c r="Y4" t="inlineStr">
        <is>
          <t>Prueba estadística t-test de muestras emparejadas y pruebas de vuelo experimentales</t>
        </is>
      </c>
      <c r="Z4" t="inlineStr">
        <is>
          <t>Escenarios de referencia creados a partir de mapas de Isla de Navidad, Australia</t>
        </is>
      </c>
      <c r="AA4" t="inlineStr">
        <is>
          <t>Sí-Ambos</t>
        </is>
      </c>
      <c r="AB4" t="inlineStr">
        <is>
          <t>8 escenarios de evaluación con diferentes niveles de complejidad</t>
        </is>
      </c>
      <c r="AC4" t="inlineStr">
        <is>
          <t>Búsqueda eficiente en espacio de configuración, integración directa de restricciones de giro y ascenso, mayor capacidad para evitar óptimos locales comparado con PSO clásico</t>
        </is>
      </c>
      <c r="AD4" t="inlineStr">
        <is>
          <t>Posibilidad de convergencia prematura en ciertos escenarios y uso de restricciones "duras" que podrían no ser óptimas para cambios dinámicos rápidos</t>
        </is>
      </c>
      <c r="AE4" t="inlineStr">
        <is>
          <t>PSO clásico, θ-PSO, QPSO, GA, ABC y DE</t>
        </is>
      </c>
      <c r="AF4" t="inlineStr">
        <is>
          <t>Introducción de algoritmo SPSO y nueva función de costo integral que considera longitud, amenazas, suavidad y altura de vuelo</t>
        </is>
      </c>
      <c r="AG4" t="inlineStr">
        <is>
          <t>Incorporar restricciones basadas en modelo dinámico exacto del UAV y probar SPSO en otros problemas de optimización</t>
        </is>
      </c>
      <c r="AH4" t="inlineStr">
        <is>
          <t>Alta</t>
        </is>
      </c>
      <c r="AI4" t="inlineStr">
        <is>
          <t>Multiple</t>
        </is>
      </c>
      <c r="AJ4" t="inlineStr">
        <is>
          <t>No proporcionado en información dada</t>
        </is>
      </c>
      <c r="AK4" t="inlineStr">
        <is>
          <t>Path planning, Particle swarm optimization, UAV</t>
        </is>
      </c>
      <c r="AL4" t="inlineStr">
        <is>
          <t>SPSO es nuevo algoritmo que optimiza rutas de UAVs traduciendo posición de partículas en vectores esféricos (velocidad y ángulos), permitiendo búsqueda más efectiva en espacio de configuración y superando a algoritmos estado-de-la-arte en simulaciones y pruebas reales</t>
        </is>
      </c>
      <c r="AM4" t="inlineStr">
        <is>
          <t>Fig. 1 (Costo de amenaza), Fig. 3 (Cálculo de ángulos), Fig. 7 (Trayectorias 3D), Fig. 12 (Resultados experimentales)</t>
        </is>
      </c>
      <c r="AN4" t="inlineStr">
        <is>
          <t>Planificación de rutas es crítica para que UAVs eviten amenazas y operen eficientemente minimizando distancia o tiempo</t>
        </is>
      </c>
      <c r="AO4" t="inlineStr">
        <is>
          <t>SPSO codifica ruta como serie de vectores en coordenadas esféricas con magnitud (ρ), elevación (ψ) y azimut (ϕ)</t>
        </is>
      </c>
      <c r="AP4" t="inlineStr">
        <is>
          <t>SPSO logra mejores valores de aptitud (fitness) de manera estadística en escenarios complejos de alta densidad de obstáculos</t>
        </is>
      </c>
      <c r="AQ4" t="inlineStr">
        <is>
          <t>Algoritmo genera rutas factibles y seguras, demostrando precisión notable en seguimiento de trayectoria durante pruebas reales</t>
        </is>
      </c>
      <c r="AR4" t="inlineStr">
        <is>
          <t>Analizado</t>
        </is>
      </c>
      <c r="AS4" s="15" t="n">
        <v>46032</v>
      </c>
      <c r="AT4" t="inlineStr">
        <is>
          <t>Mapeo directo entre variables del algoritmo y capacidades físicas del dron (giro y ascenso) es lo que otorga ventaja competitiva a SPSO</t>
        </is>
      </c>
      <c r="AU4" t="inlineStr">
        <is>
          <t>Necesidad de investigar mecanismos de aleatorización, como vuelos de Lévy, para evitar que enjambre quede atrapado en soluciones locales</t>
        </is>
      </c>
    </row>
    <row r="5">
      <c r="A5" t="inlineStr">
        <is>
          <t>PAPER_013</t>
        </is>
      </c>
      <c r="B5" t="inlineStr">
        <is>
          <t>Chaos Particle Swarm Optimization Enhancement Algorithm for UAV Safe Path Planning</t>
        </is>
      </c>
      <c r="C5" t="inlineStr">
        <is>
          <t>Hongyue Chu, Junkai Yi, Fei Yang</t>
        </is>
      </c>
      <c r="D5" t="n">
        <v>2022</v>
      </c>
      <c r="E5" t="inlineStr">
        <is>
          <t>Applied Sciences (MDPI)</t>
        </is>
      </c>
      <c r="F5" t="inlineStr">
        <is>
          <t>Journal</t>
        </is>
      </c>
      <c r="G5" t="inlineStr">
        <is>
          <t>Fuentes no mencionan explícitamente factor de impacto actual</t>
        </is>
      </c>
      <c r="H5" t="inlineStr">
        <is>
          <t>10.3390/app12188977</t>
        </is>
      </c>
      <c r="I5" t="inlineStr">
        <is>
          <t>https://doi.org/10.3390/app12188977</t>
        </is>
      </c>
      <c r="J5" t="inlineStr">
        <is>
          <t>Otro</t>
        </is>
      </c>
      <c r="K5" t="inlineStr">
        <is>
          <t>No especifica número de citas recibidas</t>
        </is>
      </c>
      <c r="L5" t="inlineStr">
        <is>
          <t>PSO</t>
        </is>
      </c>
      <c r="M5" t="inlineStr">
        <is>
          <t>Teoría del Caos (mapas logísticos) y Pesos de Inercia Dinámicos No Lineales (INDIW)</t>
        </is>
      </c>
      <c r="N5" t="inlineStr">
        <is>
          <t>Algoritmo IC-VAINDIWPSO (Improved Chaotic-VAINDIWPSO)</t>
        </is>
      </c>
      <c r="O5" t="inlineStr">
        <is>
          <t>Otro</t>
        </is>
      </c>
      <c r="P5" t="inlineStr">
        <is>
          <t>Navegación autónoma en entornos tridimensionales (3D) con múltiples amenazas y restricciones de terreno</t>
        </is>
      </c>
      <c r="Q5" t="inlineStr">
        <is>
          <t>Pruebas centradas en trayectoria de un UAV individual entre punto de inicio y objetivo</t>
        </is>
      </c>
      <c r="R5" t="inlineStr">
        <is>
          <t>3D-Dinámico</t>
        </is>
      </c>
      <c r="S5" t="inlineStr">
        <is>
          <t>Amenazas representadas como cilindros, divididas en zonas de colisión y zonas de peligro</t>
        </is>
      </c>
      <c r="T5" t="inlineStr">
        <is>
          <t>Evalúa tiempo de inicialización (reducido 86.35% frente a PSO) y tiempo de ejecución por iteración</t>
        </is>
      </c>
      <c r="U5" t="inlineStr">
        <is>
          <t>No medida directamente, optimizada mediante longitud total de trayectoria (Costo F1)</t>
        </is>
      </c>
      <c r="V5" t="inlineStr">
        <is>
          <t>No aplica, es tarea de navegación punto a punto</t>
        </is>
      </c>
      <c r="W5" t="inlineStr">
        <is>
          <t>Velocidad de convergencia medida en iteraciones; IC-VAINDIWPSO converge aproximadamente en 20 a 25 iteraciones</t>
        </is>
      </c>
      <c r="X5" t="inlineStr">
        <is>
          <t>No definida en términos de O-notación; validada mediante eficiencia en tiempo real y reducción de iteraciones necesarias para óptimo</t>
        </is>
      </c>
      <c r="Y5" t="inlineStr">
        <is>
          <t>Simulación+Experimentos</t>
        </is>
      </c>
      <c r="Z5" t="inlineStr">
        <is>
          <t>Servidor con CPU de 2.1 GHz, 16.00 GB de RAM, sistema operativo de 64 bits</t>
        </is>
      </c>
      <c r="AA5" t="inlineStr">
        <is>
          <t>No</t>
        </is>
      </c>
      <c r="AB5" t="inlineStr">
        <is>
          <t>Poblaciones iniciales de 500 a 1000 partículas y mapa de elevación digital de Isla de Navidad</t>
        </is>
      </c>
      <c r="AC5" t="inlineStr">
        <is>
          <t>Rápida velocidad de convergencia, trayectorias más suaves, menor tiempo de inicialización, alta capacidad para escapar de óptimos locales</t>
        </is>
      </c>
      <c r="AD5" t="inlineStr">
        <is>
          <t>Experimento realizado solo en entornos estáticos sin considerar obstáculos dinámicos ni efectos meteorológicos complejos</t>
        </is>
      </c>
      <c r="AE5" t="inlineStr">
        <is>
          <t>PSO estándar, VAINDIWPSO, QPSO (Quantum-behaved PSO), Algoritmos Genéticos (GA), ABC (Artificial Bee Colony)</t>
        </is>
      </c>
      <c r="AF5" t="inlineStr">
        <is>
          <t>Integración de ajuste adaptativo de velocidad, inicialización caótica y mapas logísticos mejorados con pesos de inercia no lineales para optimizar rutas 3D</t>
        </is>
      </c>
      <c r="AG5" t="inlineStr">
        <is>
          <t>Investigar planificación en entornos con obstáculos dinámicos y considerar más restricciones físicas del UAV</t>
        </is>
      </c>
      <c r="AH5" t="inlineStr">
        <is>
          <t>Alta</t>
        </is>
      </c>
      <c r="AI5" t="inlineStr">
        <is>
          <t>Multiple</t>
        </is>
      </c>
      <c r="AJ5" t="inlineStr">
        <is>
          <t>No incluido; metadatos disponibles (Chu, Yi, Yang, 2022, Applied Sciences, vol. 12, issue 18)</t>
        </is>
      </c>
      <c r="AK5" t="inlineStr">
        <is>
          <t>UAV, path planning, improve particle swarm optimization, improved nonlinear dynamic inertia weights, chaos theory, adaptive adjustment of velocity</t>
        </is>
      </c>
      <c r="AL5" t="inlineStr">
        <is>
          <t>Propone algoritmo IC-VAINDIWPSO para planificación de rutas 3D en UAVs. Introduce pesos de inercia dinámicos no lineales y perturbación de velocidad para mejorar convergencia. Suma inicialización caótica y mapas logísticos, logra soluciones casi óptimas, reduciendo tiempo de inicialización y produciendo rutas más suaves en entornos con múltiples amenazas</t>
        </is>
      </c>
      <c r="AM5" t="inlineStr">
        <is>
          <t>Figura 1 (Modelo de amenaza), Figura 2 (Ángulos de giro y trepada), Figura 3 (Entorno 3D), Figura 7 (Gráfica de convergencia), Figuras 10 y 12 (Resultados del IC-VAINDIWPSO)</t>
        </is>
      </c>
      <c r="AN5" t="inlineStr">
        <is>
          <t>La planificación de rutas seguras para UAV es de gran magnitud para la tasa de finalización y eficiencia de las tareas</t>
        </is>
      </c>
      <c r="AO5" t="inlineStr">
        <is>
          <t>Se introdujeron pesos de inercia dinámicos no lineales mejorados (INDIW) en el algoritmo PSO</t>
        </is>
      </c>
      <c r="AP5" t="inlineStr">
        <is>
          <t>El algoritmo IC-VAINDIWPSO mejora sustancialmente la velocidad de convergencia y reduce el valor de la función de aptitud</t>
        </is>
      </c>
      <c r="AQ5" t="inlineStr">
        <is>
          <t>El algoritmo IC-VAINDIWPSO puede alcanzar soluciones casi óptimas en la mayoría de los escenarios</t>
        </is>
      </c>
      <c r="AR5" t="inlineStr">
        <is>
          <t>Analizado</t>
        </is>
      </c>
      <c r="AS5" s="15" t="n">
        <v>46033</v>
      </c>
      <c r="AT5" t="inlineStr">
        <is>
          <t>Uso de teoría del caos permite que partículas exploren espacio de solución de manera más uniforme, evitando estancamiento común del PSO tradicional</t>
        </is>
      </c>
      <c r="AU5" t="inlineStr">
        <is>
          <t>Autores declaran no tener conflictos de interés</t>
        </is>
      </c>
    </row>
    <row r="6">
      <c r="A6" t="inlineStr">
        <is>
          <t>PAPER_016</t>
        </is>
      </c>
      <c r="B6" t="inlineStr">
        <is>
          <t>A Novel UAV Path Planning Algorithm Based on Double-Dynamic Biogeography-Based Learning Particle Swarm Optimization</t>
        </is>
      </c>
      <c r="C6" t="inlineStr">
        <is>
          <t>Yisheng Ji, Xinchao Zhao, Junling Hao</t>
        </is>
      </c>
      <c r="D6" t="n">
        <v>2022</v>
      </c>
      <c r="E6" t="inlineStr">
        <is>
          <t>Mobile Information Systems (Hindawi)</t>
        </is>
      </c>
      <c r="F6" t="inlineStr">
        <is>
          <t>Journal</t>
        </is>
      </c>
      <c r="G6" t="inlineStr">
        <is>
          <t>No mencionado (información externa: factor varía anualmente, consultar JCR)</t>
        </is>
      </c>
      <c r="H6" t="inlineStr">
        <is>
          <t>10.1155/2022/8519708</t>
        </is>
      </c>
      <c r="I6" t="inlineStr">
        <is>
          <t>https://doi.org/10.1155/2022/8519708</t>
        </is>
      </c>
      <c r="J6" t="inlineStr">
        <is>
          <t>Otro</t>
        </is>
      </c>
      <c r="K6" t="inlineStr">
        <is>
          <t>Referencia 25 trabajos previos; número de citas específico no especificado</t>
        </is>
      </c>
      <c r="L6" t="inlineStr">
        <is>
          <t>PSO</t>
        </is>
      </c>
      <c r="M6" t="inlineStr">
        <is>
          <t>Basado en PSO (Particle Swarm Optimization) y BBO (Biogeography-Based Optimization); inspirado en CLPSO y BLPSO</t>
        </is>
      </c>
      <c r="N6" t="inlineStr">
        <is>
          <t>Estrategia de aprendizaje doble-dinámico que reemplaza mecanismo tradicional de aprendizaje de mejores partículas personales y globales; cada partícula aprende de la mejor entre dos partículas seleccionadas no peores que ella misma</t>
        </is>
      </c>
      <c r="O6" t="inlineStr">
        <is>
          <t>Otro</t>
        </is>
      </c>
      <c r="P6" t="inlineStr">
        <is>
          <t>Navegación en entornos complejos con evitación de colisiones y optimización de trayectorias en terrenos realistas</t>
        </is>
      </c>
      <c r="Q6" t="inlineStr">
        <is>
          <t>Centrado en comportamiento de un solo UAV a través de diversos puntos de trayectoria (m puntos)</t>
        </is>
      </c>
      <c r="R6" t="inlineStr">
        <is>
          <t>3D-Dinámico</t>
        </is>
      </c>
      <c r="S6" t="inlineStr">
        <is>
          <t>Terrenos montañosos, edificios (altos, bajos, gigantes), suelo, zonas de peligro (áreas detectadas por radares)</t>
        </is>
      </c>
      <c r="T6" t="inlineStr">
        <is>
          <t>Evaluado mediante eficiencia y velocidad de convergencia del algoritmo en comparación con otros métodos</t>
        </is>
      </c>
      <c r="U6" t="inlineStr">
        <is>
          <t>No medida directamente en julios; optimizada mediante minimización de longitud total de ruta (f_length), reduciendo consumo de combustible/energía</t>
        </is>
      </c>
      <c r="V6" t="inlineStr">
        <is>
          <t>No es enfoque principal; objetivo es encontrar ruta óptima entre punto inicial y final</t>
        </is>
      </c>
      <c r="W6" t="inlineStr">
        <is>
          <t>Alta tasa de convergencia y precisión, especialmente en problemas de gran escala</t>
        </is>
      </c>
      <c r="X6" t="inlineStr">
        <is>
          <t>Transformación de optimización multiobjetivo restringida a objetivo único no restringida para simplificar problema y mejorar eficiencia</t>
        </is>
      </c>
      <c r="Y6" t="inlineStr">
        <is>
          <t>Solo Simulación</t>
        </is>
      </c>
      <c r="Z6" t="inlineStr">
        <is>
          <t>Realizado en MATLAB 2017b</t>
        </is>
      </c>
      <c r="AA6" t="inlineStr">
        <is>
          <t>No</t>
        </is>
      </c>
      <c r="AB6" t="inlineStr">
        <is>
          <t>Conjunto de funciones de referencia CEC2015 y modelos de terreno generados matemáticamente</t>
        </is>
      </c>
      <c r="AC6" t="inlineStr">
        <is>
          <t>Capacidad para escapar de óptimos locales, mayor tasa de convergencia, superioridad en problemas de gran escala frente a algoritmos relevantes</t>
        </is>
      </c>
      <c r="AD6" t="inlineStr">
        <is>
          <t>Rendimiento menos destacado en ciertas funciones multimodales y de composición comparado con competidores; desviación estándar (Std) relativamente grande en algunos casos de planificación de rutas, sugiriendo margen de mejora</t>
        </is>
      </c>
      <c r="AE6" t="inlineStr">
        <is>
          <t>PSO, BBO, CLPSO, BLSPSO, PBSPSO, DEBBO</t>
        </is>
      </c>
      <c r="AF6" t="inlineStr">
        <is>
          <t>Diseño de estrategia de aprendizaje doble-dinámica basada en biogeografía; propuesta de seis funciones de terreno (ciudad, aldeas, áreas montañosas con/sin casas) para simulaciones de UAV</t>
        </is>
      </c>
      <c r="AG6" t="inlineStr">
        <is>
          <t>Aplicación en exploración petrolera, aprendizaje profundo, extensión a problemas de optimización multiobjetivo o con restricciones más complejas</t>
        </is>
      </c>
      <c r="AH6" t="inlineStr">
        <is>
          <t>Alta</t>
        </is>
      </c>
      <c r="AI6" t="inlineStr">
        <is>
          <t>Multiple</t>
        </is>
      </c>
      <c r="AJ6" t="inlineStr">
        <is>
          <t>@article{ji2022novel, title={A Novel UAV Path Planning Algorithm Based on Double-Dynamic Biogeography-Based Learning Particle Swarm Optimization}, author={Ji, Yisheng and Zhao, Xinchao and Hao, Junling}, journal={Mobile Information Systems}, volume={2022}, year={2022}, publisher={Hindawi}}</t>
        </is>
      </c>
      <c r="AK6" t="inlineStr">
        <is>
          <t>UAV path planning, Particle swarm optimization, Biogeography-based learning, Double-dynamic strategy</t>
        </is>
      </c>
      <c r="AL6" t="inlineStr">
        <is>
          <t>Propone algoritmo DDBLPSO para mejorar convergencia y precisión en planificación de rutas de UAV. Utiliza estrategia donde partículas aprenden de sujetos no peores que ellas mismas, validando éxito en seis tipos de terrenos realistas y funciones benchmark</t>
        </is>
      </c>
      <c r="AM6" t="inlineStr">
        <is>
          <t>Figura 1 (Relación entre probabilidades de aprendizaje y selección), Figuras 2 y 3 (Curvas de convergencia de funciones benchmark), Figuras 4 y 5 (Curvas de convergencia en funciones de terreno)</t>
        </is>
      </c>
      <c r="AN6" t="inlineStr">
        <is>
          <t>UAV path planning is designed in a space which represents environment experienced by UAV during its flight</t>
        </is>
      </c>
      <c r="AO6" t="inlineStr">
        <is>
          <t>DDBLPSO adopts double-dynamic biogeography-based learning strategy. Under this strategy, particle only learns from itself or other even better individuals</t>
        </is>
      </c>
      <c r="AP6" t="inlineStr">
        <is>
          <t>DDBLPSO shows its dominance over other competitors on unimodal functions and hybrid functions... this means that DDBLPSO has much greater convergence rate</t>
        </is>
      </c>
      <c r="AQ6" t="inlineStr">
        <is>
          <t>Computational experiments and simulations demonstrate the performance advantages of the algorithm both in global optimization and UAV path planning</t>
        </is>
      </c>
      <c r="AR6" t="inlineStr">
        <is>
          <t>Analizado</t>
        </is>
      </c>
      <c r="AS6" s="15" t="n">
        <v>46033</v>
      </c>
      <c r="AT6" t="inlineStr">
        <is>
          <t>Enfoque en seis terrenos distintos (ciudad, aldea, montaña) aporta valor práctico superior a estudios que solo usan terrenos montañosos genéricos</t>
        </is>
      </c>
      <c r="AU6" t="inlineStr">
        <is>
          <t>Documento declara que no existen conflictos de interés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xl/worksheets/sheet3.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ColWidth="11.25" defaultRowHeight="15" customHeight="1"/>
  <cols>
    <col width="8.5" customWidth="1" min="1" max="26"/>
  </cols>
  <sheetData>
    <row r="1" ht="15.75" customHeight="1">
      <c r="A1" s="8">
        <f>"Papers con Algoritmo ACO"</f>
        <v/>
      </c>
    </row>
    <row r="2" ht="15.75" customHeight="1">
      <c r="A2" t="inlineStr">
        <is>
          <t>ID</t>
        </is>
      </c>
      <c r="B2" t="inlineStr">
        <is>
          <t>Título Completo</t>
        </is>
      </c>
      <c r="C2" t="inlineStr">
        <is>
          <t>Autores</t>
        </is>
      </c>
      <c r="D2" t="inlineStr">
        <is>
          <t>Año</t>
        </is>
      </c>
      <c r="E2" t="inlineStr">
        <is>
          <t>Fuente</t>
        </is>
      </c>
      <c r="F2" t="inlineStr">
        <is>
          <t>Tipo Publicación</t>
        </is>
      </c>
      <c r="G2" t="inlineStr">
        <is>
          <t>Factor Impacto</t>
        </is>
      </c>
      <c r="H2" t="inlineStr">
        <is>
          <t>DOI</t>
        </is>
      </c>
      <c r="I2" t="inlineStr">
        <is>
          <t>URL</t>
        </is>
      </c>
      <c r="J2" t="inlineStr">
        <is>
          <t>Base de Datos</t>
        </is>
      </c>
      <c r="K2" t="inlineStr">
        <is>
          <t>Citaciones</t>
        </is>
      </c>
      <c r="L2" t="inlineStr">
        <is>
          <t>Algoritmo Principal</t>
        </is>
      </c>
      <c r="M2" t="inlineStr">
        <is>
          <t>Algoritmo Secundario</t>
        </is>
      </c>
      <c r="N2" t="inlineStr">
        <is>
          <t>Variante Específica</t>
        </is>
      </c>
      <c r="O2" t="inlineStr">
        <is>
          <t>Aplicación Principal</t>
        </is>
      </c>
      <c r="P2" t="inlineStr">
        <is>
          <t>Aplicación Específica</t>
        </is>
      </c>
      <c r="Q2" t="inlineStr">
        <is>
          <t>Tamaño Flota</t>
        </is>
      </c>
      <c r="R2" t="inlineStr">
        <is>
          <t>Tipo Ambiente</t>
        </is>
      </c>
      <c r="S2" t="inlineStr">
        <is>
          <t>Obstáculos</t>
        </is>
      </c>
      <c r="T2" t="inlineStr">
        <is>
          <t>Métrica: Tiempo</t>
        </is>
      </c>
      <c r="U2" t="inlineStr">
        <is>
          <t>Métrica: Energía</t>
        </is>
      </c>
      <c r="V2" t="inlineStr">
        <is>
          <t>Métrica: Cobertura</t>
        </is>
      </c>
      <c r="W2" t="inlineStr">
        <is>
          <t>Métrica: Convergencia</t>
        </is>
      </c>
      <c r="X2" t="inlineStr">
        <is>
          <t>Complejidad Computacional</t>
        </is>
      </c>
      <c r="Y2" t="inlineStr">
        <is>
          <t>Validación</t>
        </is>
      </c>
      <c r="Z2" t="inlineStr">
        <is>
          <t>Entorno Simulación</t>
        </is>
      </c>
      <c r="AA2" t="inlineStr">
        <is>
          <t>Pruebas Reales</t>
        </is>
      </c>
      <c r="AB2" t="inlineStr">
        <is>
          <t>Tamaño Dataset</t>
        </is>
      </c>
      <c r="AC2" t="inlineStr">
        <is>
          <t>Ventajas Identificadas</t>
        </is>
      </c>
      <c r="AD2" t="inlineStr">
        <is>
          <t>Limitaciones</t>
        </is>
      </c>
      <c r="AE2" t="inlineStr">
        <is>
          <t>Comparación Con</t>
        </is>
      </c>
      <c r="AF2" t="inlineStr">
        <is>
          <t>Contribución Original</t>
        </is>
      </c>
      <c r="AG2" t="inlineStr">
        <is>
          <t>Trabajo Futuro</t>
        </is>
      </c>
      <c r="AH2" t="inlineStr">
        <is>
          <t>Relevancia</t>
        </is>
      </c>
      <c r="AI2" t="inlineStr">
        <is>
          <t>Sección Paper</t>
        </is>
      </c>
      <c r="AJ2" t="inlineStr">
        <is>
          <t>Citación BibTeX</t>
        </is>
      </c>
      <c r="AK2" t="inlineStr">
        <is>
          <t>Palabras Clave</t>
        </is>
      </c>
      <c r="AL2" t="inlineStr">
        <is>
          <t>Abstract Resumido</t>
        </is>
      </c>
      <c r="AM2" t="inlineStr">
        <is>
          <t>Figuras Relevantes</t>
        </is>
      </c>
      <c r="AN2" t="inlineStr">
        <is>
          <t>Citar: Introducción</t>
        </is>
      </c>
      <c r="AO2" t="inlineStr">
        <is>
          <t>Citar: Metodología</t>
        </is>
      </c>
      <c r="AP2" t="inlineStr">
        <is>
          <t>Citar: Análisis</t>
        </is>
      </c>
      <c r="AQ2" t="inlineStr">
        <is>
          <t>Citar: Conclusiones</t>
        </is>
      </c>
      <c r="AR2" t="inlineStr">
        <is>
          <t>Estado Lectura</t>
        </is>
      </c>
      <c r="AS2" t="inlineStr">
        <is>
          <t>Fecha Análisis</t>
        </is>
      </c>
      <c r="AT2" t="inlineStr">
        <is>
          <t>Notas Personales</t>
        </is>
      </c>
      <c r="AU2" t="inlineStr">
        <is>
          <t>Conflictos/Dudas</t>
        </is>
      </c>
    </row>
    <row r="3">
      <c r="A3" t="inlineStr">
        <is>
          <t>PAPER_001</t>
        </is>
      </c>
      <c r="B3" t="inlineStr">
        <is>
          <t>Coverage path planning of heterogeneous unmanned aerial vehicles based on ant colony system</t>
        </is>
      </c>
      <c r="C3" t="inlineStr">
        <is>
          <t>Jinchao Chen, Fuyuan Ling, Ying Zhang, Tao You, Yifan Liu, Xiaoyan Du</t>
        </is>
      </c>
      <c r="D3" t="n">
        <v>2021</v>
      </c>
      <c r="E3" t="inlineStr">
        <is>
          <t>Swarm and Evolutionary Computation</t>
        </is>
      </c>
      <c r="F3" t="inlineStr">
        <is>
          <t>Journal</t>
        </is>
      </c>
      <c r="G3" t="inlineStr">
        <is>
          <t>SCI (Science Citation Index)</t>
        </is>
      </c>
      <c r="H3" t="inlineStr">
        <is>
          <t>https://doi.org/10.1016/j.swevo.2021.101005</t>
        </is>
      </c>
      <c r="I3" t="inlineStr">
        <is>
          <t>www.elsevier.com/locate/swevo</t>
        </is>
      </c>
      <c r="J3" t="inlineStr">
        <is>
          <t>ScienceDirect</t>
        </is>
      </c>
      <c r="K3" t="inlineStr">
        <is>
          <t>No indicado en las fuentes</t>
        </is>
      </c>
      <c r="L3" t="inlineStr">
        <is>
          <t>ACO</t>
        </is>
      </c>
      <c r="M3" t="inlineStr">
        <is>
          <t>MILP, Vecino más cercano, Algoritmo UUniFast</t>
        </is>
      </c>
      <c r="N3" t="inlineStr">
        <is>
          <t>APPA (ACS-based path planning algorithm)</t>
        </is>
      </c>
      <c r="O3" t="inlineStr">
        <is>
          <t>Otro</t>
        </is>
      </c>
      <c r="P3" t="inlineStr">
        <is>
          <t>Búsqueda cooperativa en sistemas de gran escala con múltiples regiones separadas y UAVs heterogéneos</t>
        </is>
      </c>
      <c r="Q3" t="inlineStr">
        <is>
          <t>De 2 a 10 UAVs</t>
        </is>
      </c>
      <c r="R3" t="inlineStr">
        <is>
          <t>3D-Dinámico</t>
        </is>
      </c>
      <c r="S3" t="inlineStr">
        <is>
          <t>No</t>
        </is>
      </c>
      <c r="T3" t="inlineStr">
        <is>
          <t>Tiempo de ejecución y tiempo de finalización de tarea</t>
        </is>
      </c>
      <c r="U3" t="inlineStr">
        <is>
          <t>Mencionada como beneficio de heterogeneidad, pero no es métrica principal de optimización</t>
        </is>
      </c>
      <c r="V3" t="inlineStr">
        <is>
          <t>Visita completa y búsqueda de todas las regiones de interés</t>
        </is>
      </c>
      <c r="W3" t="inlineStr">
        <is>
          <t>La regla de actualización global de feromonas mejora la velocidad de convergencia</t>
        </is>
      </c>
      <c r="X3" t="inlineStr">
        <is>
          <t>Los resultados demuestran que APPA supera a otros métodos heurísticos como GA y SDF en precisión y eficiencia, logrando soluciones muy cercanas a las óptimas (MILP) con una complejidad computacional pseudo-polinomial que permite manejar sistemas de gran escala de forma más rápida,,,. No obstante, el modelo actual presenta vacíos técnicos al omitir la evitación de obstáculos, la gestión de fallos de equipo y el consumo de energía detallado,.</t>
        </is>
      </c>
      <c r="Y3" t="inlineStr">
        <is>
          <t>Solo Simulación</t>
        </is>
      </c>
      <c r="Z3" t="inlineStr">
        <is>
          <t>C++, Microsoft Visual Studio 2015, Intel Core i5-3320M 2.60 GHz</t>
        </is>
      </c>
      <c r="AA3" t="inlineStr">
        <is>
          <t>No</t>
        </is>
      </c>
      <c r="AB3" t="inlineStr">
        <is>
          <t>100 instancias para cada punto experimental</t>
        </is>
      </c>
      <c r="AC3" t="inlineStr">
        <is>
          <t>Mejor búsqueda global, eficiencia superior a MILP en gran escala y menores ratios de desviación</t>
        </is>
      </c>
      <c r="AD3" t="inlineStr">
        <is>
          <t>No considera evitación de obstáculos, fallos de comunicación ni consumo dinámico de energía</t>
        </is>
      </c>
      <c r="AE3" t="inlineStr">
        <is>
          <t>MILP, GA, SDF, STCA_NA, STCA_NE</t>
        </is>
      </c>
      <c r="AF3" t="inlineStr">
        <is>
          <t>Formulación MILP exacta y heurística APPA basada en ratios de tiempo efectivos</t>
        </is>
      </c>
      <c r="AG3" t="inlineStr">
        <is>
          <t>Incorporar modelos tecnológicos avanzados para mejorar precisión y aplicar a otros escenarios</t>
        </is>
      </c>
      <c r="AH3" t="inlineStr">
        <is>
          <t>Media</t>
        </is>
      </c>
      <c r="AI3" t="inlineStr">
        <is>
          <t>Multiple</t>
        </is>
      </c>
      <c r="AJ3" t="inlineStr">
        <is>
          <t>Información no presente en las fuentes</t>
        </is>
      </c>
      <c r="AK3" t="inlineStr">
        <is>
          <t>Ant colony system (Sistema de colonia de hormigas), Coverage path planning (Planificación de rutas de cobertura), Unmanned aerial vehicle (Vehículo aéreo no tripulado), Multiple regions (Múltiples regiones), Heterogeneous UAVs (UAVs heterogéneos).</t>
        </is>
      </c>
      <c r="AL3" t="inlineStr">
        <is>
          <t>El estudio aborda el problema de la planificación de rutas de cobertura (CPP) para múltiples UAVs heterogéneos en sistemas de búsqueda cooperativa de gran escala con regiones separadas. Dado que este es un problema NP-hard, se propone un algoritmo basado en el sistema de colonia de hormigas (ACS) para obtener rutas que cubran todas las regiones de manera eficiente. El método incluye una formulación de programación lineal para rutas punto a punto y una heurística para minimizar el tiempo de finalización de las tareas. Los experimentos demuestran que el algoritmo propuesto ofrece soluciones de alta calidad con tiempos de ejecución razonables.</t>
        </is>
      </c>
      <c r="AM3" t="inlineStr">
        <is>
          <t xml:space="preserve">
    ◦ Fig. 1: Proceso evolutivo de algoritmos de optimización bio-inspirados en problemas de planificación de rutas.
    ◦ Fig. 2: Tiempo de ejecución de los seis enfoques comparados en regiones generadas aleatoriamente.
    ◦ Fig. 4: Tiempos de finalización de tareas de los métodos evaluados.
    ◦ Fig. 6: Ratios de desviación de los cinco enfoques inexactos respecto al óptimo.</t>
        </is>
      </c>
      <c r="AN3" t="inlineStr">
        <is>
          <t>"En contraste con los vehículos aéreos tripulados, el UAV libera al humano de trabajos peligrosos, aburridos y pesados".</t>
        </is>
      </c>
      <c r="AO3" t="inlineStr">
        <is>
          <t>An ACS-based heuristic is presented to seek approximately optimal solutions'</t>
        </is>
      </c>
      <c r="AP3" t="inlineStr">
        <is>
          <t>"Se presenta una heurística basada en ACS para buscar soluciones aproximadamente óptimas y minimizar el consumo de tiempo de las tareas en el sistema de búsqueda cooperativa". El algoritmo se divide en una fase de asignación de regiones basada en "ratios de tiempo efectivos" y una fase de optimización del orden de visita.</t>
        </is>
      </c>
      <c r="AQ3" t="inlineStr">
        <is>
          <t>"Nuestro enfoque tiene un rendimiento significativamente mejor que los otros cuatro algoritmos (GA, SDF, STCA_NA y STCA_NE) en términos de tiempo de finalización de la tarea".</t>
        </is>
      </c>
      <c r="AR3" t="inlineStr">
        <is>
          <t>Analizado</t>
        </is>
      </c>
      <c r="AS3" s="15" t="n">
        <v>46031</v>
      </c>
      <c r="AT3" t="inlineStr">
        <is>
          <t>El estudio es relevante porque considera la heterogeneidad de los UAVs (diferentes velocidades y capacidades de escaneo), lo cual es más realista para aplicaciones agrícolas o de vigilancia que los modelos homogéneos. Es notable que el algoritmo logra un ratio de desviación de solo 1.2% cuando se manejan 50 regiones, lo que indica una alta precisión para un método heurístico.</t>
        </is>
      </c>
      <c r="AU3" t="inlineStr">
        <is>
          <t>Los autores declaran que no existe conflicto de intereses. Una limitación técnica mencionada es que el modelo actual no considera la evitación de obstáculos, colisiones, ni fallos de equipo durante la misión.</t>
        </is>
      </c>
    </row>
    <row r="4">
      <c r="A4" t="inlineStr">
        <is>
          <t>PAPER_019</t>
        </is>
      </c>
      <c r="B4" t="inlineStr">
        <is>
          <t>Convergence Analysis of Path Planning of Multi-UAVs Using Max-Min Ant Colony Optimization Approach.</t>
        </is>
      </c>
      <c r="C4" t="inlineStr">
        <is>
          <t>Muhammad Shafiq, Zain Anwar Ali, Amber Israr, Eman H. Alkhammash, Myriam Hadjouni y Jari Juhani Jussila.</t>
        </is>
      </c>
      <c r="D4" t="n">
        <v>2022</v>
      </c>
      <c r="E4" t="inlineStr">
        <is>
          <t>Sensors (MDPI)</t>
        </is>
      </c>
      <c r="F4" t="inlineStr">
        <is>
          <t>Journal</t>
        </is>
      </c>
      <c r="G4" t="inlineStr">
        <is>
          <t>No especificado</t>
        </is>
      </c>
      <c r="H4" t="inlineStr">
        <is>
          <t>https://doi.org/10.3390/s22145395</t>
        </is>
      </c>
      <c r="I4" t="inlineStr">
        <is>
          <t>https://www.mdpi.com/1424-8220/22/14/5395</t>
        </is>
      </c>
      <c r="J4" t="inlineStr">
        <is>
          <t>Otro</t>
        </is>
      </c>
      <c r="K4" t="inlineStr">
        <is>
          <t>50 referencias (citas recibidas no especificadas)</t>
        </is>
      </c>
      <c r="L4" t="inlineStr">
        <is>
          <t>ACO</t>
        </is>
      </c>
      <c r="M4" t="inlineStr">
        <is>
          <t>Evolución Diferencial (DE) y Mutación de Cauchy (CM)</t>
        </is>
      </c>
      <c r="N4" t="inlineStr">
        <is>
          <t>MMACO-DE / MMACO-CM</t>
        </is>
      </c>
      <c r="O4" t="inlineStr">
        <is>
          <t>Mapeo</t>
        </is>
      </c>
      <c r="P4" t="inlineStr">
        <is>
          <t>Rutas colectivas en entornos dinámicos con evasión de colisiones</t>
        </is>
      </c>
      <c r="Q4" t="inlineStr">
        <is>
          <t>Múltiples UAVs (2 en simulaciones)</t>
        </is>
      </c>
      <c r="R4" t="inlineStr">
        <is>
          <t>3D-Dinámico</t>
        </is>
      </c>
      <c r="S4" t="inlineStr">
        <is>
          <t>Montañas irregulares, tornados, obstáculos artificiales, amenazas naturales</t>
        </is>
      </c>
      <c r="T4" t="inlineStr">
        <is>
          <t>Tiempo de convergencia y reducción duración detección</t>
        </is>
      </c>
      <c r="U4" t="inlineStr">
        <is>
          <t>Indirecta: distancia recorrida y número de giros</t>
        </is>
      </c>
      <c r="V4" t="inlineStr">
        <is>
          <t>No es métrica principal (mencionada en trabajos relacionados)</t>
        </is>
      </c>
      <c r="W4" t="inlineStr">
        <is>
          <t>Velocidad de convergencia para evitar óptimos locales</t>
        </is>
      </c>
      <c r="X4" t="inlineStr">
        <is>
          <t>Reducción mediante subcolonias (solo "hormiga más apta" actualiza feromonas)</t>
        </is>
      </c>
      <c r="Y4" t="inlineStr">
        <is>
          <t>Solo Simulación</t>
        </is>
      </c>
      <c r="Z4" t="inlineStr">
        <is>
          <t>MATLAB 2021a (Intel i7-1165G7, 16GB RAM, Windows 11)</t>
        </is>
      </c>
      <c r="AA4" t="inlineStr">
        <is>
          <t>No</t>
        </is>
      </c>
      <c r="AB4" t="inlineStr">
        <is>
          <t>No se utiliza un dataset externo; la validación se basa en parámetros geométricos y de entorno generados en MATLAB, incluyendo coordenadas de objetivos, picos de montañas y radios de fuerzas de viento.</t>
        </is>
      </c>
      <c r="AC4" t="inlineStr">
        <is>
          <t>El enfoque MMACO-DE destaca por generar rutas más cortas y con menos giros en comparación con MMACO-CM. Además, ofrece una mayor velocidad de convergencia y estabilidad en la planificación de trayectorias dentro de entornos complejos.</t>
        </is>
      </c>
      <c r="AD4" t="inlineStr">
        <is>
          <t>Se identifica que las tecnologías actuales de inteligencia artificial aún no son plenamente capaces de ofrecer soluciones en tiempo real durante el modo operativo del dron sin depender de cálculos previos extensos o simplificaciones.</t>
        </is>
      </c>
      <c r="AE4" t="inlineStr">
        <is>
          <t>El estudio realiza una comparativa directa del rendimiento entre dos variantes híbridas: MMACO-DE frente a MMACO-CM.</t>
        </is>
      </c>
      <c r="AF4" t="inlineStr">
        <is>
          <t>La investigación aporta un análisis de convergencia comparativo de dos algoritmos híbridos bio-inspirados diseñados específicamente para resolver la planificación de rutas en entornos 3D dinámicos con presencia de obstáculos artificiales y naturales.</t>
        </is>
      </c>
      <c r="AG4" t="inlineStr">
        <is>
          <t>Se planea llevar los algoritmos del entorno de simulación a la implementación en hardware físico para validar la eficiencia de las trayectorias en condiciones reales de vuelo.</t>
        </is>
      </c>
      <c r="AH4" t="inlineStr">
        <is>
          <t>Alta</t>
        </is>
      </c>
      <c r="AI4" t="inlineStr">
        <is>
          <t>Multiple</t>
        </is>
      </c>
      <c r="AJ4" t="inlineStr">
        <is>
          <t>Las fuentes no proporcionan el formato BibTeX explícito, pero incluyen todos los metadatos necesarios (autores, título, revista, DOI) para generarlo externamente.</t>
        </is>
      </c>
      <c r="AK4" t="inlineStr">
        <is>
          <t>Path planning, Max-Min Ant Colony Optimization, differential evolution, Cauchy mutation.</t>
        </is>
      </c>
      <c r="AL4" t="inlineStr">
        <is>
          <t>El artículo investiga modelos híbridos de optimización para la planificación de rutas colectivas de UAVs ante obstáculos inesperados. Los resultados de la simulación demuestran que el método MMACO-DE supera al MMACO-CM en longitud de ruta y tiempo de convergencia.</t>
        </is>
      </c>
      <c r="AM4" t="inlineStr">
        <is>
          <t>El paper incluye la Figura 1 (nodos y ángulos de giro), la Figura 2 (comportamiento de búsqueda de las hormigas), las Figuras 3 a 6 (vistas 2D y 3D de las rutas en dos casos de estudio) y la Figura 7 (costos de estimación).</t>
        </is>
      </c>
      <c r="AN4" t="inlineStr">
        <is>
          <t>"Unmanned Aerial Vehicles (UAVs) seem to be the most efficient way of achieving the intended aerial tasks". Las fuentes también destacan que las aplicaciones de estos vehículos se expanden día a día debido a su impacto en todos los campos, pasando de tareas simples con altos costos a tareas complejas realizadas por múltiples UAVs.</t>
        </is>
      </c>
      <c r="AO4" t="inlineStr">
        <is>
          <t>"The search space is constrained with this strategy by specifying a range, which reduces the search time and allows it to converge quickly". Se menciona además que la hibridación ayuda a optimizar los logros previos y a reducir los errores del sistema.</t>
        </is>
      </c>
      <c r="AP4" t="inlineStr">
        <is>
          <t>"the path constructed by the MMACO-DE is shorter than MMACO-CM and has fewer turns". El análisis de los casos de estudio confirma que el UAV que utiliza MMACO-DE llega a su destino antes, lo que verifica una mejor tasa de convergencia.</t>
        </is>
      </c>
      <c r="AQ4" t="inlineStr">
        <is>
          <t>"MMACO-DE algorithm was better than MMACO-CM in achieving a shorter path with less path cost". El estudio concluye que los algoritmos bio-inspirados son formas famosas y efectivas de resolver problemas de planificación de rutas con enfoques simples.</t>
        </is>
      </c>
      <c r="AR4" t="inlineStr">
        <is>
          <t>Analizado</t>
        </is>
      </c>
      <c r="AS4" s="15" t="n">
        <v>46052</v>
      </c>
      <c r="AT4" t="inlineStr">
        <is>
          <t>La innovación clave del algoritmo MMACO-DE es su estructura de sub-colonias jerárquicas, donde solo la "hormiga más apta" de cada grupo actualiza la feromona, lo que ahorra tiempo de computación y acelera la detección del objetivo. Este enfoque híbrido es vital porque las tecnologías actuales aún no pueden proporcionar soluciones completas en tiempo real en modo operativo sin cálculos previos.</t>
        </is>
      </c>
      <c r="AU4" t="inlineStr">
        <is>
          <t>Se plantea que el operador de Mutación de Cauchy (CM) ayuda a evitar caer en óptimos locales mediante variaciones, pero en las simulaciones presentadas, el operador de Evolución Diferencial (DE) fue consistentemente superior en términos de distancia total y fluidez de la ruta. Queda pendiente verificar si estos resultados se mantienen en entornos físicos reales, ya que el estudio se limita a simulaciones en MATLAB.</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xl/worksheets/sheet4.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ColWidth="11.25" defaultRowHeight="15" customHeight="1"/>
  <cols>
    <col width="8.5" customWidth="1" min="1" max="26"/>
  </cols>
  <sheetData>
    <row r="1" ht="15.75" customHeight="1">
      <c r="A1" s="8">
        <f>"Papers de Agricultura Precisión"</f>
        <v/>
      </c>
    </row>
    <row r="2" ht="15.75" customHeight="1">
      <c r="A2" t="inlineStr">
        <is>
          <t>ID</t>
        </is>
      </c>
      <c r="B2" t="inlineStr">
        <is>
          <t>Título Completo</t>
        </is>
      </c>
      <c r="C2" t="inlineStr">
        <is>
          <t>Autores</t>
        </is>
      </c>
      <c r="D2" t="inlineStr">
        <is>
          <t>Año</t>
        </is>
      </c>
      <c r="E2" t="inlineStr">
        <is>
          <t>Fuente</t>
        </is>
      </c>
      <c r="F2" t="inlineStr">
        <is>
          <t>Tipo Publicación</t>
        </is>
      </c>
      <c r="G2" t="inlineStr">
        <is>
          <t>Factor Impacto</t>
        </is>
      </c>
      <c r="H2" t="inlineStr">
        <is>
          <t>DOI</t>
        </is>
      </c>
      <c r="I2" t="inlineStr">
        <is>
          <t>URL</t>
        </is>
      </c>
      <c r="J2" t="inlineStr">
        <is>
          <t>Base de Datos</t>
        </is>
      </c>
      <c r="K2" t="inlineStr">
        <is>
          <t>Citaciones</t>
        </is>
      </c>
      <c r="L2" t="inlineStr">
        <is>
          <t>Algoritmo Principal</t>
        </is>
      </c>
      <c r="M2" t="inlineStr">
        <is>
          <t>Algoritmo Secundario</t>
        </is>
      </c>
      <c r="N2" t="inlineStr">
        <is>
          <t>Variante Específica</t>
        </is>
      </c>
      <c r="O2" t="inlineStr">
        <is>
          <t>Aplicación Principal</t>
        </is>
      </c>
      <c r="P2" t="inlineStr">
        <is>
          <t>Aplicación Específica</t>
        </is>
      </c>
      <c r="Q2" t="inlineStr">
        <is>
          <t>Tamaño Flota</t>
        </is>
      </c>
      <c r="R2" t="inlineStr">
        <is>
          <t>Tipo Ambiente</t>
        </is>
      </c>
      <c r="S2" t="inlineStr">
        <is>
          <t>Obstáculos</t>
        </is>
      </c>
      <c r="T2" t="inlineStr">
        <is>
          <t>Métrica: Tiempo</t>
        </is>
      </c>
      <c r="U2" t="inlineStr">
        <is>
          <t>Métrica: Energía</t>
        </is>
      </c>
      <c r="V2" t="inlineStr">
        <is>
          <t>Métrica: Cobertura</t>
        </is>
      </c>
      <c r="W2" t="inlineStr">
        <is>
          <t>Métrica: Convergencia</t>
        </is>
      </c>
      <c r="X2" t="inlineStr">
        <is>
          <t>Complejidad Computacional</t>
        </is>
      </c>
      <c r="Y2" t="inlineStr">
        <is>
          <t>Validación</t>
        </is>
      </c>
      <c r="Z2" t="inlineStr">
        <is>
          <t>Entorno Simulación</t>
        </is>
      </c>
      <c r="AA2" t="inlineStr">
        <is>
          <t>Pruebas Reales</t>
        </is>
      </c>
      <c r="AB2" t="inlineStr">
        <is>
          <t>Tamaño Dataset</t>
        </is>
      </c>
      <c r="AC2" t="inlineStr">
        <is>
          <t>Ventajas Identificadas</t>
        </is>
      </c>
      <c r="AD2" t="inlineStr">
        <is>
          <t>Limitaciones</t>
        </is>
      </c>
      <c r="AE2" t="inlineStr">
        <is>
          <t>Comparación Con</t>
        </is>
      </c>
      <c r="AF2" t="inlineStr">
        <is>
          <t>Contribución Original</t>
        </is>
      </c>
      <c r="AG2" t="inlineStr">
        <is>
          <t>Trabajo Futuro</t>
        </is>
      </c>
      <c r="AH2" t="inlineStr">
        <is>
          <t>Relevancia</t>
        </is>
      </c>
      <c r="AI2" t="inlineStr">
        <is>
          <t>Sección Paper</t>
        </is>
      </c>
      <c r="AJ2" t="inlineStr">
        <is>
          <t>Citación BibTeX</t>
        </is>
      </c>
      <c r="AK2" t="inlineStr">
        <is>
          <t>Palabras Clave</t>
        </is>
      </c>
      <c r="AL2" t="inlineStr">
        <is>
          <t>Abstract Resumido</t>
        </is>
      </c>
      <c r="AM2" t="inlineStr">
        <is>
          <t>Figuras Relevantes</t>
        </is>
      </c>
      <c r="AN2" t="inlineStr">
        <is>
          <t>Citar: Introducción</t>
        </is>
      </c>
      <c r="AO2" t="inlineStr">
        <is>
          <t>Citar: Metodología</t>
        </is>
      </c>
      <c r="AP2" t="inlineStr">
        <is>
          <t>Citar: Análisis</t>
        </is>
      </c>
      <c r="AQ2" t="inlineStr">
        <is>
          <t>Citar: Conclusiones</t>
        </is>
      </c>
      <c r="AR2" t="inlineStr">
        <is>
          <t>Estado Lectura</t>
        </is>
      </c>
      <c r="AS2" t="inlineStr">
        <is>
          <t>Fecha Análisis</t>
        </is>
      </c>
      <c r="AT2" t="inlineStr">
        <is>
          <t>Notas Personales</t>
        </is>
      </c>
      <c r="AU2" t="inlineStr">
        <is>
          <t>Conflictos/Dudas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xl/worksheets/sheet5.xml><?xml version="1.0" encoding="utf-8"?>
<worksheet xmlns="http://schemas.openxmlformats.org/spreadsheetml/2006/main">
  <sheetPr>
    <outlinePr summaryBelow="1" summaryRight="1"/>
    <pageSetUpPr/>
  </sheetPr>
  <dimension ref="A1:AU2"/>
  <sheetViews>
    <sheetView workbookViewId="0">
      <selection activeCell="A1" sqref="A1"/>
    </sheetView>
  </sheetViews>
  <sheetFormatPr baseColWidth="8" defaultColWidth="11.25" defaultRowHeight="15" customHeight="1"/>
  <cols>
    <col width="8.5" customWidth="1" min="1" max="26"/>
  </cols>
  <sheetData>
    <row r="1" ht="15.75" customHeight="1">
      <c r="A1" s="8">
        <f>"Papers de Inspección Industrial"</f>
        <v/>
      </c>
    </row>
    <row r="2" ht="15.75" customHeight="1">
      <c r="A2" t="inlineStr">
        <is>
          <t>ID</t>
        </is>
      </c>
      <c r="B2" t="inlineStr">
        <is>
          <t>Título Completo</t>
        </is>
      </c>
      <c r="C2" t="inlineStr">
        <is>
          <t>Autores</t>
        </is>
      </c>
      <c r="D2" t="inlineStr">
        <is>
          <t>Año</t>
        </is>
      </c>
      <c r="E2" t="inlineStr">
        <is>
          <t>Fuente</t>
        </is>
      </c>
      <c r="F2" t="inlineStr">
        <is>
          <t>Tipo Publicación</t>
        </is>
      </c>
      <c r="G2" t="inlineStr">
        <is>
          <t>Factor Impacto</t>
        </is>
      </c>
      <c r="H2" t="inlineStr">
        <is>
          <t>DOI</t>
        </is>
      </c>
      <c r="I2" t="inlineStr">
        <is>
          <t>URL</t>
        </is>
      </c>
      <c r="J2" t="inlineStr">
        <is>
          <t>Base de Datos</t>
        </is>
      </c>
      <c r="K2" t="inlineStr">
        <is>
          <t>Citaciones</t>
        </is>
      </c>
      <c r="L2" t="inlineStr">
        <is>
          <t>Algoritmo Principal</t>
        </is>
      </c>
      <c r="M2" t="inlineStr">
        <is>
          <t>Algoritmo Secundario</t>
        </is>
      </c>
      <c r="N2" t="inlineStr">
        <is>
          <t>Variante Específica</t>
        </is>
      </c>
      <c r="O2" t="inlineStr">
        <is>
          <t>Aplicación Principal</t>
        </is>
      </c>
      <c r="P2" t="inlineStr">
        <is>
          <t>Aplicación Específica</t>
        </is>
      </c>
      <c r="Q2" t="inlineStr">
        <is>
          <t>Tamaño Flota</t>
        </is>
      </c>
      <c r="R2" t="inlineStr">
        <is>
          <t>Tipo Ambiente</t>
        </is>
      </c>
      <c r="S2" t="inlineStr">
        <is>
          <t>Obstáculos</t>
        </is>
      </c>
      <c r="T2" t="inlineStr">
        <is>
          <t>Métrica: Tiempo</t>
        </is>
      </c>
      <c r="U2" t="inlineStr">
        <is>
          <t>Métrica: Energía</t>
        </is>
      </c>
      <c r="V2" t="inlineStr">
        <is>
          <t>Métrica: Cobertura</t>
        </is>
      </c>
      <c r="W2" t="inlineStr">
        <is>
          <t>Métrica: Convergencia</t>
        </is>
      </c>
      <c r="X2" t="inlineStr">
        <is>
          <t>Complejidad Computacional</t>
        </is>
      </c>
      <c r="Y2" t="inlineStr">
        <is>
          <t>Validación</t>
        </is>
      </c>
      <c r="Z2" t="inlineStr">
        <is>
          <t>Entorno Simulación</t>
        </is>
      </c>
      <c r="AA2" t="inlineStr">
        <is>
          <t>Pruebas Reales</t>
        </is>
      </c>
      <c r="AB2" t="inlineStr">
        <is>
          <t>Tamaño Dataset</t>
        </is>
      </c>
      <c r="AC2" t="inlineStr">
        <is>
          <t>Ventajas Identificadas</t>
        </is>
      </c>
      <c r="AD2" t="inlineStr">
        <is>
          <t>Limitaciones</t>
        </is>
      </c>
      <c r="AE2" t="inlineStr">
        <is>
          <t>Comparación Con</t>
        </is>
      </c>
      <c r="AF2" t="inlineStr">
        <is>
          <t>Contribución Original</t>
        </is>
      </c>
      <c r="AG2" t="inlineStr">
        <is>
          <t>Trabajo Futuro</t>
        </is>
      </c>
      <c r="AH2" t="inlineStr">
        <is>
          <t>Relevancia</t>
        </is>
      </c>
      <c r="AI2" t="inlineStr">
        <is>
          <t>Sección Paper</t>
        </is>
      </c>
      <c r="AJ2" t="inlineStr">
        <is>
          <t>Citación BibTeX</t>
        </is>
      </c>
      <c r="AK2" t="inlineStr">
        <is>
          <t>Palabras Clave</t>
        </is>
      </c>
      <c r="AL2" t="inlineStr">
        <is>
          <t>Abstract Resumido</t>
        </is>
      </c>
      <c r="AM2" t="inlineStr">
        <is>
          <t>Figuras Relevantes</t>
        </is>
      </c>
      <c r="AN2" t="inlineStr">
        <is>
          <t>Citar: Introducción</t>
        </is>
      </c>
      <c r="AO2" t="inlineStr">
        <is>
          <t>Citar: Metodología</t>
        </is>
      </c>
      <c r="AP2" t="inlineStr">
        <is>
          <t>Citar: Análisis</t>
        </is>
      </c>
      <c r="AQ2" t="inlineStr">
        <is>
          <t>Citar: Conclusiones</t>
        </is>
      </c>
      <c r="AR2" t="inlineStr">
        <is>
          <t>Estado Lectura</t>
        </is>
      </c>
      <c r="AS2" t="inlineStr">
        <is>
          <t>Fecha Análisis</t>
        </is>
      </c>
      <c r="AT2" t="inlineStr">
        <is>
          <t>Notas Personales</t>
        </is>
      </c>
      <c r="AU2" t="inlineStr">
        <is>
          <t>Conflictos/Dudas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xl/worksheets/sheet6.xml><?xml version="1.0" encoding="utf-8"?>
<worksheet xmlns="http://schemas.openxmlformats.org/spreadsheetml/2006/main">
  <sheetPr>
    <outlinePr summaryBelow="1" summaryRight="1"/>
    <pageSetUpPr/>
  </sheetPr>
  <dimension ref="A1:AU18"/>
  <sheetViews>
    <sheetView workbookViewId="0">
      <selection activeCell="A1" sqref="A1"/>
    </sheetView>
  </sheetViews>
  <sheetFormatPr baseColWidth="8" defaultColWidth="11.25" defaultRowHeight="15" customHeight="1"/>
  <cols>
    <col width="8.5" customWidth="1" min="1" max="26"/>
  </cols>
  <sheetData>
    <row r="1" ht="15.75" customHeight="1">
      <c r="A1" s="8">
        <f>"Papers de Alta Relevancia"</f>
        <v/>
      </c>
    </row>
    <row r="2" ht="15.75" customHeight="1">
      <c r="A2" t="inlineStr">
        <is>
          <t>ID</t>
        </is>
      </c>
      <c r="B2" t="inlineStr">
        <is>
          <t>Título Completo</t>
        </is>
      </c>
      <c r="C2" t="inlineStr">
        <is>
          <t>Autores</t>
        </is>
      </c>
      <c r="D2" t="inlineStr">
        <is>
          <t>Año</t>
        </is>
      </c>
      <c r="E2" t="inlineStr">
        <is>
          <t>Fuente</t>
        </is>
      </c>
      <c r="F2" t="inlineStr">
        <is>
          <t>Tipo Publicación</t>
        </is>
      </c>
      <c r="G2" t="inlineStr">
        <is>
          <t>Factor Impacto</t>
        </is>
      </c>
      <c r="H2" t="inlineStr">
        <is>
          <t>DOI</t>
        </is>
      </c>
      <c r="I2" t="inlineStr">
        <is>
          <t>URL</t>
        </is>
      </c>
      <c r="J2" t="inlineStr">
        <is>
          <t>Base de Datos</t>
        </is>
      </c>
      <c r="K2" t="inlineStr">
        <is>
          <t>Citaciones</t>
        </is>
      </c>
      <c r="L2" t="inlineStr">
        <is>
          <t>Algoritmo Principal</t>
        </is>
      </c>
      <c r="M2" t="inlineStr">
        <is>
          <t>Algoritmo Secundario</t>
        </is>
      </c>
      <c r="N2" t="inlineStr">
        <is>
          <t>Variante Específica</t>
        </is>
      </c>
      <c r="O2" t="inlineStr">
        <is>
          <t>Aplicación Principal</t>
        </is>
      </c>
      <c r="P2" t="inlineStr">
        <is>
          <t>Aplicación Específica</t>
        </is>
      </c>
      <c r="Q2" t="inlineStr">
        <is>
          <t>Tamaño Flota</t>
        </is>
      </c>
      <c r="R2" t="inlineStr">
        <is>
          <t>Tipo Ambiente</t>
        </is>
      </c>
      <c r="S2" t="inlineStr">
        <is>
          <t>Obstáculos</t>
        </is>
      </c>
      <c r="T2" t="inlineStr">
        <is>
          <t>Métrica: Tiempo</t>
        </is>
      </c>
      <c r="U2" t="inlineStr">
        <is>
          <t>Métrica: Energía</t>
        </is>
      </c>
      <c r="V2" t="inlineStr">
        <is>
          <t>Métrica: Cobertura</t>
        </is>
      </c>
      <c r="W2" t="inlineStr">
        <is>
          <t>Métrica: Convergencia</t>
        </is>
      </c>
      <c r="X2" t="inlineStr">
        <is>
          <t>Complejidad Computacional</t>
        </is>
      </c>
      <c r="Y2" t="inlineStr">
        <is>
          <t>Validación</t>
        </is>
      </c>
      <c r="Z2" t="inlineStr">
        <is>
          <t>Entorno Simulación</t>
        </is>
      </c>
      <c r="AA2" t="inlineStr">
        <is>
          <t>Pruebas Reales</t>
        </is>
      </c>
      <c r="AB2" t="inlineStr">
        <is>
          <t>Tamaño Dataset</t>
        </is>
      </c>
      <c r="AC2" t="inlineStr">
        <is>
          <t>Ventajas Identificadas</t>
        </is>
      </c>
      <c r="AD2" t="inlineStr">
        <is>
          <t>Limitaciones</t>
        </is>
      </c>
      <c r="AE2" t="inlineStr">
        <is>
          <t>Comparación Con</t>
        </is>
      </c>
      <c r="AF2" t="inlineStr">
        <is>
          <t>Contribución Original</t>
        </is>
      </c>
      <c r="AG2" t="inlineStr">
        <is>
          <t>Trabajo Futuro</t>
        </is>
      </c>
      <c r="AH2" t="inlineStr">
        <is>
          <t>Relevancia</t>
        </is>
      </c>
      <c r="AI2" t="inlineStr">
        <is>
          <t>Sección Paper</t>
        </is>
      </c>
      <c r="AJ2" t="inlineStr">
        <is>
          <t>Citación BibTeX</t>
        </is>
      </c>
      <c r="AK2" t="inlineStr">
        <is>
          <t>Palabras Clave</t>
        </is>
      </c>
      <c r="AL2" t="inlineStr">
        <is>
          <t>Abstract Resumido</t>
        </is>
      </c>
      <c r="AM2" t="inlineStr">
        <is>
          <t>Figuras Relevantes</t>
        </is>
      </c>
      <c r="AN2" t="inlineStr">
        <is>
          <t>Citar: Introducción</t>
        </is>
      </c>
      <c r="AO2" t="inlineStr">
        <is>
          <t>Citar: Metodología</t>
        </is>
      </c>
      <c r="AP2" t="inlineStr">
        <is>
          <t>Citar: Análisis</t>
        </is>
      </c>
      <c r="AQ2" t="inlineStr">
        <is>
          <t>Citar: Conclusiones</t>
        </is>
      </c>
      <c r="AR2" t="inlineStr">
        <is>
          <t>Estado Lectura</t>
        </is>
      </c>
      <c r="AS2" t="inlineStr">
        <is>
          <t>Fecha Análisis</t>
        </is>
      </c>
      <c r="AT2" t="inlineStr">
        <is>
          <t>Notas Personales</t>
        </is>
      </c>
      <c r="AU2" t="inlineStr">
        <is>
          <t>Conflictos/Dudas</t>
        </is>
      </c>
    </row>
    <row r="3">
      <c r="A3" t="inlineStr">
        <is>
          <t>PAPER_002</t>
        </is>
      </c>
      <c r="B3" t="inlineStr">
        <is>
          <t>Improved Artificial Bee Colony Algorithm Based on Multi-Strategy Synthesis for UAV Path Planning</t>
        </is>
      </c>
      <c r="C3" t="inlineStr">
        <is>
          <t>Siqi Lin, Feifei Li, Xuyang Li, Kejin Jia, Xiaowei Zhang</t>
        </is>
      </c>
      <c r="D3" t="n">
        <v>2022</v>
      </c>
      <c r="E3" t="inlineStr">
        <is>
          <t>IEEE Access</t>
        </is>
      </c>
      <c r="F3" t="inlineStr">
        <is>
          <t>Journal</t>
        </is>
      </c>
      <c r="G3" t="inlineStr">
        <is>
          <t>No mencionado explícitamente</t>
        </is>
      </c>
      <c r="H3" t="inlineStr">
        <is>
          <t>10.1109/ACCESS.2022.3218685</t>
        </is>
      </c>
      <c r="I3" t="inlineStr">
        <is>
          <t>10.1109/ACCESS.2022.3218685</t>
        </is>
      </c>
      <c r="J3" t="inlineStr">
        <is>
          <t>ScienceDirect</t>
        </is>
      </c>
      <c r="K3" t="inlineStr">
        <is>
          <t>35 referencias bibliográficas incluidas</t>
        </is>
      </c>
      <c r="L3" t="inlineStr">
        <is>
          <t>ABC</t>
        </is>
      </c>
      <c r="M3" t="inlineStr">
        <is>
          <t>Optimización por Enjambre de Partículas (PSO), Algoritmo ABC de Búsqueda (SABC), Algoritmo ABC del Mejor Global (GABC)</t>
        </is>
      </c>
      <c r="N3" t="inlineStr">
        <is>
          <t>IABC (Improved Artificial Bee Colony) con mapeo caótico de Tent, principio de Pareto y evolución estocástica tangente</t>
        </is>
      </c>
      <c r="O3" t="inlineStr">
        <is>
          <t>Otro</t>
        </is>
      </c>
      <c r="P3" t="inlineStr">
        <is>
          <t>Generación de trayectorias óptimas y suaves en entornos urbanos 3D complejos con múltiples restricciones de vuelo</t>
        </is>
      </c>
      <c r="Q3" t="inlineStr">
        <is>
          <t>UAV individual (proyecta uso multi-UAV a futuro)</t>
        </is>
      </c>
      <c r="R3" t="inlineStr">
        <is>
          <t>3D-Estático</t>
        </is>
      </c>
      <c r="S3" t="inlineStr">
        <is>
          <t>Construcciones urbanas como cuerpos rectangulares y fuentes de amenaza divididas en zonas de peligro, moderación y seguridad</t>
        </is>
      </c>
      <c r="T3" t="inlineStr">
        <is>
          <t>Eficiencia operativa y reducción del tiempo de búsqueda para ruta óptima</t>
        </is>
      </c>
      <c r="U3" t="inlineStr">
        <is>
          <t>Considerada indirectamente mediante reducción de distancia de vuelo y consumo de combustible</t>
        </is>
      </c>
      <c r="V3" t="inlineStr">
        <is>
          <t>No aplica en sentido de barrido de área; se enfoca en evitación de colisiones y alcance de objetivo</t>
        </is>
      </c>
      <c r="W3" t="inlineStr">
        <is>
          <t>Velocidad de iteración (IABC requiere menos iteraciones que otros algoritmos)</t>
        </is>
      </c>
      <c r="X3" t="inlineStr">
        <is>
          <t>Algoritmo de baja complejidad y alta adaptabilidad en comparación con otros métodos biónicos</t>
        </is>
      </c>
      <c r="Y3" t="inlineStr">
        <is>
          <t>Solo Simulación</t>
        </is>
      </c>
      <c r="Z3" t="inlineStr">
        <is>
          <t>Espacio tridimensional 80m x 80m x 25m con tres escenarios de dificultad progresiva (Casos 1, 2, 3)</t>
        </is>
      </c>
      <c r="AA3" t="inlineStr">
        <is>
          <t>No</t>
        </is>
      </c>
      <c r="AB3" t="inlineStr">
        <is>
          <t>No utiliza dataset externo; usa modelos matemáticos de entorno y parámetros de población de abejas</t>
        </is>
      </c>
      <c r="AC3" t="inlineStr">
        <is>
          <t>Alta eficiencia, convergencia rápida, excelente capacidad para saltar de óptimos locales, generación de rutas suaves mediante spline cúbico</t>
        </is>
      </c>
      <c r="AD3" t="inlineStr">
        <is>
          <t>Método solo aplicable a entornos estáticos</t>
        </is>
      </c>
      <c r="AE3" t="inlineStr">
        <is>
          <t>IABC demostró superioridad en valor óptimo, valor medio y desviación estándar, más estable que PSO y ABC estándar</t>
        </is>
      </c>
      <c r="AF3" t="inlineStr">
        <is>
          <t>Diseño de estrategia de búsqueda guiada, inicialización de población con mapa de Tent y Pareto, mecanismo de evolución estocástica tangente para mejorar calidad de descendencia</t>
        </is>
      </c>
      <c r="AG3" t="inlineStr">
        <is>
          <t>Planificación de rutas para múltiples UAVs bajo amenazas dinámicas y ajuste adaptativo de trayectoria</t>
        </is>
      </c>
      <c r="AH3" t="inlineStr">
        <is>
          <t>Alta</t>
        </is>
      </c>
      <c r="AI3" t="inlineStr">
        <is>
          <t>Multiple</t>
        </is>
      </c>
      <c r="AJ3" t="inlineStr">
        <is>
          <t>@article{lin2022improved, title={Improved Artificial Bee Colony Algorithm...}, author={Lin, Siqi and others}, journal={IEEE Access}, year={2022}}</t>
        </is>
      </c>
      <c r="AK3" t="inlineStr">
        <is>
          <t>Artificial bee colony algorithm (ABC), path planning, unmanned aerial vehicle (UAV), cubic spline interpolation</t>
        </is>
      </c>
      <c r="AL3" t="inlineStr">
        <is>
          <t>Propone mejora del algoritmo ABC (IABC) mediante síntesis de múltiples estrategias para optimizar ruta de UAVs en ciudades 3D, logrando trayectorias suaves y eficientes que superan a algoritmos tradicionales en velocidad y precisión</t>
        </is>
      </c>
      <c r="AM3" t="inlineStr">
        <is>
          <t>15 figuras incluyendo modelos de entorno (Fig. 2), diagramas de flujo (Fig. 6), curvas de convergencia (Fig. 8, 11, 14)</t>
        </is>
      </c>
      <c r="AN3" t="inlineStr">
        <is>
          <t>Referencias sobre uso de UAVs (1-3) y algoritmos inteligentes como GA, ACO y PSO (4-10)</t>
        </is>
      </c>
      <c r="AO3" t="inlineStr">
        <is>
          <t>Referencias al ABC original (11) y técnicas de inicialización caótica (29-32) e interpolación (28)</t>
        </is>
      </c>
      <c r="AP3" t="inlineStr">
        <is>
          <t>Compara resultados con variantes de ABC propuestas por otros autores en referencias 34 y 35</t>
        </is>
      </c>
      <c r="AQ3" t="inlineStr">
        <is>
          <t>Resume beneficios de interpolación de spline cúbico y estrategias de Pareto sin añadir citas nuevas fuera del análisis previo</t>
        </is>
      </c>
      <c r="AR3" t="inlineStr">
        <is>
          <t>Analizado</t>
        </is>
      </c>
      <c r="AS3" s="15" t="n">
        <v>46031</v>
      </c>
      <c r="AT3" t="inlineStr">
        <is>
          <t>Uso del principio de Pareto (regla 80/20) para filtrar solo el 20% de la población como élite, optimizando drásticamente costo computacional de iteración</t>
        </is>
      </c>
      <c r="AU3" t="inlineStr">
        <is>
          <t>No se declaran conflictos de interés; estudio financiado por Programa de Investigación y Desarrollo de Provincia de Hebei</t>
        </is>
      </c>
    </row>
    <row r="4">
      <c r="A4" t="inlineStr">
        <is>
          <t>PAPER_003</t>
        </is>
      </c>
      <c r="B4" t="inlineStr">
        <is>
          <t>A Modified Sparrow Search Algorithm with Application in 3d Route Planning for UAV</t>
        </is>
      </c>
      <c r="C4" t="inlineStr">
        <is>
          <t>Guiyun Liu, Cong Shu, Zhongwei Liang, Baihao Peng, Lefeng Cheng</t>
        </is>
      </c>
      <c r="D4" t="n">
        <v>2021</v>
      </c>
      <c r="E4" t="inlineStr">
        <is>
          <t>Sensors (MDPI)</t>
        </is>
      </c>
      <c r="F4" t="inlineStr">
        <is>
          <t>Journal</t>
        </is>
      </c>
      <c r="G4" t="inlineStr">
        <is>
          <t>No especificado en fuentes (nota: según registros externos, Sensors tiene factor de impacto relevante)</t>
        </is>
      </c>
      <c r="H4" t="inlineStr">
        <is>
          <t>https://doi.org/10.3390/s21041224</t>
        </is>
      </c>
      <c r="I4" t="inlineStr">
        <is>
          <t>https://www.mdpi.com/1424-8220/21/4/1224</t>
        </is>
      </c>
      <c r="J4" t="inlineStr">
        <is>
          <t>Otro</t>
        </is>
      </c>
      <c r="K4" t="inlineStr">
        <is>
          <t>No menciona número total de citaciones (dato dinámico)</t>
        </is>
      </c>
      <c r="L4" t="inlineStr">
        <is>
          <t>Otro</t>
        </is>
      </c>
      <c r="M4" t="inlineStr">
        <is>
          <t>Estrategias de mejora integradas: Estrategia caótica (Cubic map), Peso de inercia adaptativo, Mutación de Cauchy-Gaussian</t>
        </is>
      </c>
      <c r="N4" t="inlineStr">
        <is>
          <t>CASSA (Chaotic Adaptive Sparrow Search Algorithm)</t>
        </is>
      </c>
      <c r="O4" t="inlineStr">
        <is>
          <t>Otro</t>
        </is>
      </c>
      <c r="P4" t="inlineStr">
        <is>
          <t>Búsqueda de ruta óptima en entorno de vuelo tridimensional (3D) complejo con múltiples restricciones y obstáculos</t>
        </is>
      </c>
      <c r="Q4" t="inlineStr">
        <is>
          <t>Simulaciones centradas en planificación de ruta para un solo UAV</t>
        </is>
      </c>
      <c r="R4" t="inlineStr">
        <is>
          <t>3D-Dinámico</t>
        </is>
      </c>
      <c r="S4" t="inlineStr">
        <is>
          <t>Columnas negras (amenazas) y elevaciones propias del terreno</t>
        </is>
      </c>
      <c r="T4" t="inlineStr">
        <is>
          <t>Tiempo de ejecución (running time) en segundos</t>
        </is>
      </c>
      <c r="U4" t="inlineStr">
        <is>
          <t>No medida directamente en Joules, evaluada mediante longitud de ruta y estabilidad de altura para minimizar consumo de combustible</t>
        </is>
      </c>
      <c r="V4" t="inlineStr">
        <is>
          <t>No es enfoque principal, objetivo es navegación punto a punto</t>
        </is>
      </c>
      <c r="W4" t="inlineStr">
        <is>
          <t>Velocidad de convergencia, precisión de solución y capacidad de evitar estancamiento en óptimos locales</t>
        </is>
      </c>
      <c r="X4" t="inlineStr">
        <is>
          <t>Problema de optimización de alta dimensión y multirestricción</t>
        </is>
      </c>
      <c r="Y4" t="inlineStr">
        <is>
          <t>Solo Simulación</t>
        </is>
      </c>
      <c r="Z4" t="inlineStr">
        <is>
          <t>Matlab-2016b en PC con Intel Core i5-9400 @2.40 GHz y 16 GB RAM</t>
        </is>
      </c>
      <c r="AA4" t="inlineStr">
        <is>
          <t>No</t>
        </is>
      </c>
      <c r="AB4" t="inlineStr">
        <is>
          <t>12 funciones matemáticas para pruebas de algoritmo y área de misión de 150 km x 100 km x 8 km para ruta</t>
        </is>
      </c>
      <c r="AC4" t="inlineStr">
        <is>
          <t>Mejor diversidad de población, mayor precisión de convergencia, más efectivo para escapar de óptimos locales que SSA original</t>
        </is>
      </c>
      <c r="AD4" t="inlineStr">
        <is>
          <t>Tiempo de ejecución de CASSA es ligeramente superior al SSA original debido a operaciones de mutación adicionales</t>
        </is>
      </c>
      <c r="AE4" t="inlineStr">
        <is>
          <t>SSA original, PSO (Particle Swarm Optimization), ABC (Artificial Bee Colony), WOA (Whale Optimization Algorithm)</t>
        </is>
      </c>
      <c r="AF4" t="inlineStr">
        <is>
          <t>Variante mejorada del algoritmo de búsqueda de gorriones que utiliza curvas B-Spline para suavizar rutas generadas, haciéndolas más viables para vuelo real</t>
        </is>
      </c>
      <c r="AG4" t="inlineStr">
        <is>
          <t>Introducir restricciones de velocidad de vuelo, amenazas dinámicas, diferentes tipos de obstáculos y aplicar CASSA a formación de múltiples UAVs</t>
        </is>
      </c>
      <c r="AH4" t="inlineStr">
        <is>
          <t>Alta</t>
        </is>
      </c>
      <c r="AI4" t="inlineStr">
        <is>
          <t>Multiple</t>
        </is>
      </c>
      <c r="AJ4" t="inlineStr">
        <is>
          <t>@Article{liu2021cassa, AUTHOR = {Liu, Guiyun and Shu, Cong and Liang, Zhongwei and Peng, Baihao and Cheng, Lefeng}, TITLE = {A Modified Sparrow Search Algorithm with Application in 3d Route Planning for UAV}, JOURNAL = {Sensors}, VOLUME = {21}, YEAR = {2021}, NUMBER = {4}, ARTICLE-NUMBER = {1224}, URL = {https://www.mdpi.com/1424-8220/21/4/1224}, DOI = {10.3390/s21041224}}</t>
        </is>
      </c>
      <c r="AK4" t="inlineStr">
        <is>
          <t>Unmanned aerial vehicle; optimization algorithm; modified sparrow search algorithm; route planning</t>
        </is>
      </c>
      <c r="AL4" t="inlineStr">
        <is>
          <t>Propone algoritmo CASSA para resolver planificación de rutas 3D, transformando problema en optimización multidimensional que utiliza estrategias caóticas, pesos adaptativos y mutación de Cauchy-Gaussian para superar ineficiencias de algoritmos previos</t>
        </is>
      </c>
      <c r="AM4" t="inlineStr">
        <is>
          <t>Diagramas de flujo del algoritmo (Fig. 3 y 7), trayectorias de partículas (Fig. 4), curvas de convergencia (Fig. 5 y 11), visualizaciones de rutas 3D (Fig. 8 y 9)</t>
        </is>
      </c>
      <c r="AN4" t="inlineStr">
        <is>
          <t>The three-dimensional (3d) route planning for unmanned aerial vehicle (UAV) can be considered as a multi-constraint global optimization problem</t>
        </is>
      </c>
      <c r="AO4" t="inlineStr">
        <is>
          <t>The chaotic strategy is used to enhance the randomness of the positions... an adaptive inertia weight is applied to balance the convergence rate... the Cauchy–Gaussian mutation strategy is adopted to improve the capability to get rid of stagnation</t>
        </is>
      </c>
      <c r="AP4" t="inlineStr">
        <is>
          <t>The results of simulation demonstrate that the routes generated by CASSA are preferable to the sparrow search algorithm (SSA), particle swarm optimization (PSO), artificial bee colony (ABC), and whale optimization algorithm (WOA) under the identical environment</t>
        </is>
      </c>
      <c r="AQ4" t="inlineStr">
        <is>
          <t>The experimental results demonstrate that CASSA is an efficient and viable method in the field of UAV route planning</t>
        </is>
      </c>
      <c r="AR4" t="inlineStr">
        <is>
          <t>Analizado</t>
        </is>
      </c>
      <c r="AS4" s="15" t="n">
        <v>46031</v>
      </c>
      <c r="AT4" t="inlineStr">
        <is>
          <t>Uso de curvas B-Spline es fundamental en este trabajo para convertir puntos discretos de optimización en trayectorias de vuelo suaves y realistas</t>
        </is>
      </c>
      <c r="AU4" t="inlineStr">
        <is>
          <t>Autores declaran que no existen conflictos de interés</t>
        </is>
      </c>
    </row>
    <row r="5">
      <c r="A5" t="inlineStr">
        <is>
          <t>PAPER_004</t>
        </is>
      </c>
      <c r="B5" t="inlineStr">
        <is>
          <t>Multi-UAV Optimal Mission Assignment and Path Planning for Disaster Rescue Using Adaptive Genetic Algorithm and Improved Artificial Bee Colony Method</t>
        </is>
      </c>
      <c r="C5" t="inlineStr">
        <is>
          <t>Haoting Liu, Jianyue Ge, Yuan Wang, Jiacheng Li, Kai Ding, Zhiqiang Zhang, Zhenhui Guo, Wei Li, Jinhui Lan</t>
        </is>
      </c>
      <c r="D5" t="n">
        <v>2021</v>
      </c>
      <c r="E5" t="inlineStr">
        <is>
          <t>Actuators (MDPI)</t>
        </is>
      </c>
      <c r="F5" t="inlineStr">
        <is>
          <t>Journal</t>
        </is>
      </c>
      <c r="G5" t="inlineStr">
        <is>
          <t>No mencionado explícitamente</t>
        </is>
      </c>
      <c r="H5" t="inlineStr">
        <is>
          <t>https://doi.org/10.3390/act11010004</t>
        </is>
      </c>
      <c r="I5" t="inlineStr">
        <is>
          <t>https://www.mdpi.com/2076-0825/11/1/4</t>
        </is>
      </c>
      <c r="J5" t="inlineStr">
        <is>
          <t>Otro</t>
        </is>
      </c>
      <c r="K5" t="inlineStr">
        <is>
          <t>No especificado número total de citas</t>
        </is>
      </c>
      <c r="L5" t="inlineStr">
        <is>
          <t>GA</t>
        </is>
      </c>
      <c r="M5" t="inlineStr">
        <is>
          <t>Colonia de Abejas Artificiales Mejorada (IABC) para planificación de rutas entre puntos de misión</t>
        </is>
      </c>
      <c r="N5" t="inlineStr">
        <is>
          <t>AGA con nueva función de aptitud basada en número de iteraciones e IABC con estrategia de búsqueda equilibrada para mejorar convergencia</t>
        </is>
      </c>
      <c r="O5" t="inlineStr">
        <is>
          <t>Búsqueda-Rescate</t>
        </is>
      </c>
      <c r="P5" t="inlineStr">
        <is>
          <t>Coordinación de drones para entrega de medicamentos, recolección de imágenes y relevo de comunicaciones en zonas afectadas</t>
        </is>
      </c>
      <c r="Q5" t="inlineStr">
        <is>
          <t>20 UAVs en simulaciones específicas (15 de entrega, 3 de imágenes, 2 de relevo) divididos en dos grupos</t>
        </is>
      </c>
      <c r="R5" t="inlineStr">
        <is>
          <t>3D-Dinámico</t>
        </is>
      </c>
      <c r="S5" t="inlineStr">
        <is>
          <t>Tres fuentes de amenaza: clima severo (viento y lluvia), torres de transmisión (interferencia electromagnética) y tierras altas (obstáculos físicos)</t>
        </is>
      </c>
      <c r="T5" t="inlineStr">
        <is>
          <t>Tiempo de procesamiento (Processing Time) en segundos</t>
        </is>
      </c>
      <c r="U5" t="inlineStr">
        <is>
          <t>Consumo de combustible/aceite (Oil consumption)</t>
        </is>
      </c>
      <c r="V5" t="inlineStr">
        <is>
          <t>No se define como métrica porcentual, se mide a través de función de ingresos por misiones cumplidas en puntos específicos</t>
        </is>
      </c>
      <c r="W5" t="inlineStr">
        <is>
          <t>Evaluada mediante comparación de valores de función de aptitud (fitness) a lo largo de iteraciones</t>
        </is>
      </c>
      <c r="X5" t="inlineStr">
        <is>
          <t>No se indica notación Big O específica; mejoras algorítmicas añaden carga computacional a cambio de mayor precisión y convergencia</t>
        </is>
      </c>
      <c r="Y5" t="inlineStr">
        <is>
          <t>Simulación+Experimentos</t>
        </is>
      </c>
      <c r="Z5" t="inlineStr">
        <is>
          <t>Programado en Python (Pycharm 2020) en PC con procesador Intel Core i3 y 4 GB de RAM</t>
        </is>
      </c>
      <c r="AA5" t="inlineStr">
        <is>
          <t>No</t>
        </is>
      </c>
      <c r="AB5" t="inlineStr">
        <is>
          <t>Coordenadas de puntos de misión (8 y 18 puntos) y datos de observación atmosférica de estaciones meteorológicas</t>
        </is>
      </c>
      <c r="AC5" t="inlineStr">
        <is>
          <t>Consideración de aplicaciones de ingeniería práctica, alta precisión computacional, buena extensibilidad del modelo para otros escenarios</t>
        </is>
      </c>
      <c r="AD5" t="inlineStr">
        <is>
          <t>Modelos de amenazas simplificados (ej. clima como círculo) e interactividad humano-computadora limitada</t>
        </is>
      </c>
      <c r="AE5" t="inlineStr">
        <is>
          <t>Algoritmo Genético (GA) tradicional, Colonia de Abejas Artificiales (ABC) básica, Optimización por Enjambre de Partículas (PSO), Algoritmo de Campo de Potencial Artificial (APFA)</t>
        </is>
      </c>
      <c r="AF5" t="inlineStr">
        <is>
          <t>Modelo integral de asignación de misiones y planificación de rutas que integra nueva función de costo-beneficio con método AHP y mejoras en capacidad de búsqueda global de algoritmos AGA e IABC</t>
        </is>
      </c>
      <c r="AG5" t="inlineStr">
        <is>
          <t>Incorporar modelos de temperatura atmosférica, modelos de terreno 3D más detallados y factores como radio mínimo de giro de UAVs</t>
        </is>
      </c>
      <c r="AH5" t="inlineStr">
        <is>
          <t>Alta</t>
        </is>
      </c>
      <c r="AI5" t="inlineStr">
        <is>
          <t>Multiple</t>
        </is>
      </c>
      <c r="AJ5" t="inlineStr">
        <is>
          <t>No proporcionado directamente; metadatos disponibles: Liu et al., 2022, Actuators, Vol. 11, No. 4</t>
        </is>
      </c>
      <c r="AK5" t="inlineStr">
        <is>
          <t>Multiple UAVs, mission assignment, path planning, genetic algorithm, artificial bee colony, disaster rescue</t>
        </is>
      </c>
      <c r="AL5" t="inlineStr">
        <is>
          <t>Propone método óptimo de asignación de misiones y planificación de rutas para drones en rescates tras desastres, utilizando algoritmo genético adaptativo y colonia de abejas artificiales mejorada, considerando amenazas ambientales y optimizando funciones de costo-beneficio mediante proceso de jerarquía analítica (AHP)</t>
        </is>
      </c>
      <c r="AM5" t="inlineStr">
        <is>
          <t>Mapa conceptual del rescate (Fig. 1), diagrama de flujo computacional (Fig. 2), estructura jerárquica de AHP (Fig. 6), visualizaciones 3D de simulación (Fig. 14)</t>
        </is>
      </c>
      <c r="AN5" t="inlineStr">
        <is>
          <t>Uso de múltiples UAVs reduce costos y aumenta seguridad en comparación con sistemas de un solo dron</t>
        </is>
      </c>
      <c r="AO5" t="inlineStr">
        <is>
          <t>Método AHP utilizado para estimar objetivamente pesos de función de costo-beneficio</t>
        </is>
      </c>
      <c r="AP5" t="inlineStr">
        <is>
          <t>Algoritmo AGA logra mejor rendimiento que GA tradicional a medida que aumenta número de puntos de misión</t>
        </is>
      </c>
      <c r="AQ5" t="inlineStr">
        <is>
          <t>Modelo propuesto es efectivo para apoyo en decisiones de rescate médico en desastres futuros</t>
        </is>
      </c>
      <c r="AR5" t="inlineStr">
        <is>
          <t>Analizado</t>
        </is>
      </c>
      <c r="AS5" s="15" t="n">
        <v>46032</v>
      </c>
      <c r="AT5" t="inlineStr">
        <is>
          <t>Enfoque en tres tipos específicos de drones (entrega, imagen y relevo) es muy práctico para escenarios reales de emergencia</t>
        </is>
      </c>
      <c r="AU5" t="inlineStr">
        <is>
          <t>Tiempo de procesamiento de algoritmos mejorados es mayor, lo cual podría ser factor crítico en rescates en tiempo real si flota crece significativamente</t>
        </is>
      </c>
    </row>
    <row r="6">
      <c r="A6" t="inlineStr">
        <is>
          <t>PAPER_005</t>
        </is>
      </c>
      <c r="B6" t="inlineStr">
        <is>
          <t>Multi-UAV Path Planning Based on Fusion of Sparrow Search Algorithm and Improved Bioinspired Neural Network</t>
        </is>
      </c>
      <c r="C6" t="inlineStr">
        <is>
          <t>Qingli Liu, Yang Zhang, Mengqian Li, Zhenya Zhang, Na Cao, Jiale Shang</t>
        </is>
      </c>
      <c r="D6" t="n">
        <v>2021</v>
      </c>
      <c r="E6" t="inlineStr">
        <is>
          <t>IEEE Access</t>
        </is>
      </c>
      <c r="F6" t="inlineStr">
        <is>
          <t>Journal</t>
        </is>
      </c>
      <c r="G6" t="inlineStr">
        <is>
          <t>No mencionado explícitamente</t>
        </is>
      </c>
      <c r="H6" t="inlineStr">
        <is>
          <t>10.1109/ACCESS.2021.3109879</t>
        </is>
      </c>
      <c r="I6" t="inlineStr">
        <is>
          <t>10.1109/ACCESS.2021.3109879</t>
        </is>
      </c>
      <c r="J6" t="inlineStr">
        <is>
          <t>IEEE Xplore</t>
        </is>
      </c>
      <c r="K6" t="inlineStr">
        <is>
          <t>No indica número de citaciones recibidas</t>
        </is>
      </c>
      <c r="L6" t="inlineStr">
        <is>
          <t>Otro</t>
        </is>
      </c>
      <c r="M6" t="inlineStr">
        <is>
          <t>Curvas B-spline para ajuste y suavizado de nodos de trayectoria</t>
        </is>
      </c>
      <c r="N6" t="inlineStr">
        <is>
          <t>BINN mejorada mediante adición de capa de buffer en neuronas y estructura ajustada para detectar entornos de dos pasos, optimizando evitación de obstáculos</t>
        </is>
      </c>
      <c r="O6" t="inlineStr">
        <is>
          <t>Otro</t>
        </is>
      </c>
      <c r="P6" t="inlineStr">
        <is>
          <t>Vuelo en entornos montañosos de larga distancia con presencia de obstáculos dinámicos y zonas de amenaza (como radares enemigos)</t>
        </is>
      </c>
      <c r="Q6" t="inlineStr">
        <is>
          <t>5 UAVs en experimentos de simulación</t>
        </is>
      </c>
      <c r="R6" t="inlineStr">
        <is>
          <t>3D-Dinámico</t>
        </is>
      </c>
      <c r="S6" t="inlineStr">
        <is>
          <t>Montañas (terreno), zonas de amenaza cilíndricas (radares) y obstáculos aéreos dinámicos en movimiento</t>
        </is>
      </c>
      <c r="T6" t="inlineStr">
        <is>
          <t>Busca baja complejidad computacional para planificación en tiempo real, no se detallan tiempos específicos de ejecución</t>
        </is>
      </c>
      <c r="U6" t="inlineStr">
        <is>
          <t>No medida directamente en julios o vatios, optimizada a través de longitud de ruta y suavidad de giros</t>
        </is>
      </c>
      <c r="V6" t="inlineStr">
        <is>
          <t>No aplicable a estudio de planificación de punto a punto</t>
        </is>
      </c>
      <c r="W6" t="inlineStr">
        <is>
          <t>SSA demuestra excelente estabilidad y convergencia en funciones de prueba, evitando caer en óptimos locales gracias a actualizaciones de posición discontinuas</t>
        </is>
      </c>
      <c r="X6" t="inlineStr">
        <is>
          <t>Descrita como baja; algoritmo de fusión reduce requerimientos de potencia de cálculo de computadoras a bordo</t>
        </is>
      </c>
      <c r="Y6" t="inlineStr">
        <is>
          <t>Solo Simulación</t>
        </is>
      </c>
      <c r="Z6" t="inlineStr">
        <is>
          <t>Plataforma Matlab en computadora con CPU i7-7700HQ y 16G de memoria</t>
        </is>
      </c>
      <c r="AA6" t="inlineStr">
        <is>
          <t>No</t>
        </is>
      </c>
      <c r="AB6" t="inlineStr">
        <is>
          <t>6 instancias de mapas de entorno (Env1-Env6) con diferentes configuraciones de obstáculos y amenazas</t>
        </is>
      </c>
      <c r="AC6" t="inlineStr">
        <is>
          <t>Rutas colisión-free en entornos dinámicos, trayectorias suaves y cortas, alta estabilidad, menor requerimiento computacional que métodos de planificación local pura</t>
        </is>
      </c>
      <c r="AD6" t="inlineStr">
        <is>
          <t>No involucra control de formación de UAVs, simplificando aspecto mediante tiempos de despegue secuenciales</t>
        </is>
      </c>
      <c r="AE6" t="inlineStr">
        <is>
          <t>Algoritmo de Colonia de Abejas Artificiales (ABC), Algoritmo de Libélula (DA), versión básica de BINN</t>
        </is>
      </c>
      <c r="AF6" t="inlineStr">
        <is>
          <t>Integración de SSA para planificación global con BINN mejorada para replanificación local, incluyendo capa de buffer en neuronas para mejorar éxito en evitación de obstáculos dinámicos</t>
        </is>
      </c>
      <c r="AG6" t="inlineStr">
        <is>
          <t>Aplicación en misiones de reconocimiento o navegación y mayor integración en aplicaciones prácticas de larga distancia</t>
        </is>
      </c>
      <c r="AH6" t="inlineStr">
        <is>
          <t>Alta</t>
        </is>
      </c>
      <c r="AI6" t="inlineStr">
        <is>
          <t>Multiple</t>
        </is>
      </c>
      <c r="AJ6" t="inlineStr">
        <is>
          <t>No incluida en texto, derivable de metadatos: @article{liu2021multi, title={Multi-UAV Path Planning Based on Fusion of Sparrow Search Algorithm and Improved Bioinspired Neural Network}, author={Liu, Qingli and others}, journal={IEEE Access}, year={2021}, publisher={IEEE}}</t>
        </is>
      </c>
      <c r="AK6" t="inlineStr">
        <is>
          <t>Path planning, multi-UAV, sparrow search algorithm, bioinspired neural network, safe surface</t>
        </is>
      </c>
      <c r="AL6" t="inlineStr">
        <is>
          <t>Propone método de fusión SSA-BINN para resolver inestabilidad e incapacidad de evitar obstáculos dinámicos en montañas. SSA encuentra nodos de bajo costo en superficie segura, curvas B-spline suavizan ruta y BINN realiza replanificación local ante obstáculos dinámicos</t>
        </is>
      </c>
      <c r="AM6" t="inlineStr">
        <is>
          <t>Fig. 1 (Modelado global/superficie segura), Fig. 2 (Modelado local de neuronas), Fig. 5 (Diagrama de flujo), Fig. 8-13 (Resultados de rutas y comparativas)</t>
        </is>
      </c>
      <c r="AN6" t="inlineStr">
        <is>
          <t>UAVs son vitales en misiones modernas y planificación de rutas es base de su éxito</t>
        </is>
      </c>
      <c r="AO6" t="inlineStr">
        <is>
          <t>SSA usado para nodos globales y B-spline para suavizado; ante obstáculos dinámicos, se activa BINN para replanificación local</t>
        </is>
      </c>
      <c r="AP6" t="inlineStr">
        <is>
          <t>Algoritmo de fusión superó a ABC y DA en estabilidad y longitud de ruta en seis entornos probados</t>
        </is>
      </c>
      <c r="AQ6" t="inlineStr">
        <is>
          <t>Combinación de planificación global y local reduce carga computacional y es ideal para aplicaciones prácticas de multi-UAV</t>
        </is>
      </c>
      <c r="AR6" t="inlineStr">
        <is>
          <t>Analizado</t>
        </is>
      </c>
      <c r="AS6" s="15" t="n">
        <v>46032</v>
      </c>
      <c r="AT6" t="inlineStr">
        <is>
          <t>Uso de "superficie segura" elevada sobre terreno es estrategia clave para simplificar modelado 3D complejo</t>
        </is>
      </c>
      <c r="AU6" t="inlineStr">
        <is>
          <t>No se aborda control de formación, lo cual podría ser área crítica para implementación real de multi-UAVs en proximidad estrecha</t>
        </is>
      </c>
    </row>
    <row r="7">
      <c r="A7" t="inlineStr">
        <is>
          <t>PAPER_008</t>
        </is>
      </c>
      <c r="B7" t="inlineStr">
        <is>
          <t>Study on border patrol task planning of heterogeneous UAVs group based on swarm intelligence</t>
        </is>
      </c>
      <c r="C7" t="inlineStr">
        <is>
          <t>Nan Pan, Miaohan Zhang, Yuxuan Sun, Shiyun Chen, Haishi Liu, Xiaojue Guo</t>
        </is>
      </c>
      <c r="D7" t="n">
        <v>2022</v>
      </c>
      <c r="E7" t="inlineStr">
        <is>
          <t>Science Progress</t>
        </is>
      </c>
      <c r="F7" t="inlineStr">
        <is>
          <t>Journal</t>
        </is>
      </c>
      <c r="G7" t="inlineStr">
        <is>
          <t>No mencionado en fuentes</t>
        </is>
      </c>
      <c r="H7" t="inlineStr">
        <is>
          <t>10.1177/00368504221094722</t>
        </is>
      </c>
      <c r="I7" t="inlineStr">
        <is>
          <t>journals.sagepub.com/home/sci</t>
        </is>
      </c>
      <c r="J7" t="inlineStr">
        <is>
          <t>Otro</t>
        </is>
      </c>
      <c r="K7" t="inlineStr">
        <is>
          <t>No especificado en texto</t>
        </is>
      </c>
      <c r="L7" t="inlineStr">
        <is>
          <t>Otro</t>
        </is>
      </c>
      <c r="M7" t="inlineStr">
        <is>
          <t>Algoritmo de optimización por enjambre de partículas (PSO) y Evolución Diferencial (DE) para comparación y mejora</t>
        </is>
      </c>
      <c r="N7" t="inlineStr">
        <is>
          <t>Algoritmo de salto de rana mejorado (ISFLA) basado en mecanismo de búsqueda en espiral y factor de paso adaptativo</t>
        </is>
      </c>
      <c r="O7" t="inlineStr">
        <is>
          <t>Vigilancia</t>
        </is>
      </c>
      <c r="P7" t="inlineStr">
        <is>
          <t>Patrullaje con UAVs heterogéneos en entornos de montaña complejos en 3D</t>
        </is>
      </c>
      <c r="Q7" t="inlineStr">
        <is>
          <t>5 UAVs de tres tipos diferentes</t>
        </is>
      </c>
      <c r="R7" t="inlineStr">
        <is>
          <t>3D-Dinámico</t>
        </is>
      </c>
      <c r="S7" t="inlineStr">
        <is>
          <t>Cizalladura del viento, áreas militares restringidas, campos magnéticos, picos montañosos y ríos</t>
        </is>
      </c>
      <c r="T7" t="inlineStr">
        <is>
          <t>Evalúa eficiencia de resolución y tiempo de vuelo por segmento de trayectoria</t>
        </is>
      </c>
      <c r="U7" t="inlineStr">
        <is>
          <t>Consumo de energía de patrulla mínimo</t>
        </is>
      </c>
      <c r="V7" t="inlineStr">
        <is>
          <t>Máxima cobertura de patrulla de puntos de interés</t>
        </is>
      </c>
      <c r="W7" t="inlineStr">
        <is>
          <t>Mejora significativa en convergencia global y precisión en comparación con otros algoritmos</t>
        </is>
      </c>
      <c r="X7" t="inlineStr">
        <is>
          <t>SFLA descrito con estructura simple y alta eficiencia de resolución</t>
        </is>
      </c>
      <c r="Y7" t="inlineStr">
        <is>
          <t>Solo Simulación</t>
        </is>
      </c>
      <c r="Z7" t="inlineStr">
        <is>
          <t>Software Matlab 2017b ejecutado en CPU Intel i7-9750H (2.60 GHz) con 16 GB de RAM</t>
        </is>
      </c>
      <c r="AA7" t="inlineStr">
        <is>
          <t>No</t>
        </is>
      </c>
      <c r="AB7" t="inlineStr">
        <is>
          <t>30 puntos de patrulla y 7 áreas de amenaza (picos montañosos)</t>
        </is>
      </c>
      <c r="AC7" t="inlineStr">
        <is>
          <t>Mayor adaptabilidad ambiental, alta eficiencia de patrulla, bajos costos operativos, precisión de solución superior al SFLA tradicional en 33.6%</t>
        </is>
      </c>
      <c r="AD7" t="inlineStr">
        <is>
          <t>SFLA tradicional depende excesivamente de parámetros de inicialización y tiende a caer en estancamiento (stagnation)</t>
        </is>
      </c>
      <c r="AE7" t="inlineStr">
        <is>
          <t>Algoritmos PSO, DE y SFLA estándar</t>
        </is>
      </c>
      <c r="AF7" t="inlineStr">
        <is>
          <t>Creación de modelo de planificación 3D coordinado para drones heterogéneos y propuesta de algoritmo ISFLA que integra estrategia de cruce diferencial y factores de paso adaptativos</t>
        </is>
      </c>
      <c r="AG7" t="inlineStr">
        <is>
          <t>Investigar planificación de patrullas específicamente enfocada en características ambientales de áreas montañosas de meseta</t>
        </is>
      </c>
      <c r="AH7" t="inlineStr">
        <is>
          <t>Alta</t>
        </is>
      </c>
      <c r="AI7" t="inlineStr">
        <is>
          <t>Multiple</t>
        </is>
      </c>
      <c r="AJ7" t="inlineStr">
        <is>
          <t>No presente en formato BibTeX; extraíble: Pan, N., et al. (2022). Study on border patrol task planning... Science Progress, 104(S4)</t>
        </is>
      </c>
      <c r="AK7" t="inlineStr">
        <is>
          <t>Heterogeneous UAVs, border patrol, shuffled frog leaping algorithm, patrol task planning, track planning</t>
        </is>
      </c>
      <c r="AL7" t="inlineStr">
        <is>
          <t>Propone método de patrulla fronteriza con UAVs heterogéneos mediante modelo de planificación coordinado 3D. Utiliza algoritmo ISFLA para optimizar consumo de energía y cobertura en entornos montañosos, demostrando mediante simulaciones mayor eficiencia y precisión que algoritmos PSO y DE</t>
        </is>
      </c>
      <c r="AM7" t="inlineStr">
        <is>
          <t>Mapa topográfico (Fig 1), Modelo de ajuste ambiental (Fig 2), División de población (Fig 3), Factor de paso adaptativo (Fig 4), Gráficas consumo energía y precisión (Figs 9-12)</t>
        </is>
      </c>
      <c r="AN7" t="inlineStr">
        <is>
          <t>Traditional border patrol methods have been unable to adapt to the current requirements of border patrol</t>
        </is>
      </c>
      <c r="AO7" t="inlineStr">
        <is>
          <t>Design an improved shuffled frog leaping algorithm (ISFLA) based on spiral search mechanism to solve the problem of task planning</t>
        </is>
      </c>
      <c r="AP7" t="inlineStr">
        <is>
          <t>The solution accuracy of the ISLFA algorithm is 33.6%, 8.5%, and 12.4% higher than that of the SFLA, PSO, and DE algorithms, respectively</t>
        </is>
      </c>
      <c r="AQ7" t="inlineStr">
        <is>
          <t>The use of heterogeneous UAVs to perform the border patrol task can effectively compensate for the problems existing in the single-type UAVs</t>
        </is>
      </c>
      <c r="AR7" t="inlineStr">
        <is>
          <t>Analizado</t>
        </is>
      </c>
      <c r="AS7" s="15" t="n">
        <v>46032</v>
      </c>
      <c r="AT7" t="inlineStr">
        <is>
          <t>Modelo considera factores físicos reales como resistencia del aire y densidad del aire constante</t>
        </is>
      </c>
      <c r="AU7" t="inlineStr">
        <is>
          <t>Autores declaran que no existen conflictos de interés potenciales</t>
        </is>
      </c>
    </row>
    <row r="8">
      <c r="A8" t="inlineStr">
        <is>
          <t>PAPER_009</t>
        </is>
      </c>
      <c r="B8" t="inlineStr">
        <is>
          <t>Safety-enhanced UAV path planning with spherical vector-based particle swarm optimization</t>
        </is>
      </c>
      <c r="C8" t="inlineStr">
        <is>
          <t>Manh Duong Phung, Quang Phuc Ha</t>
        </is>
      </c>
      <c r="D8" t="n">
        <v>2021</v>
      </c>
      <c r="E8" t="inlineStr">
        <is>
          <t>Applied Soft Computing Journal (Volumen 107)</t>
        </is>
      </c>
      <c r="F8" t="inlineStr">
        <is>
          <t>Journal</t>
        </is>
      </c>
      <c r="G8" t="inlineStr">
        <is>
          <t>No disponible explícitamente en fuentes</t>
        </is>
      </c>
      <c r="H8" t="inlineStr">
        <is>
          <t>https://doi.org/10.1016/j.asoc.2021.107376</t>
        </is>
      </c>
      <c r="I8" t="inlineStr">
        <is>
          <t>https://github.com/duongpm/SPSO (código fuente)</t>
        </is>
      </c>
      <c r="J8" t="inlineStr">
        <is>
          <t>ScienceDirect</t>
        </is>
      </c>
      <c r="K8" t="inlineStr">
        <is>
          <t>Incluye 48 referencias bibliográficas</t>
        </is>
      </c>
      <c r="L8" t="inlineStr">
        <is>
          <t>PSO</t>
        </is>
      </c>
      <c r="M8" t="inlineStr">
        <is>
          <t>Algoritmo Genético (GA), Colonia de Abejas Artificiales (ABC), Evolución Diferencial (DE) para comparación</t>
        </is>
      </c>
      <c r="N8" t="inlineStr">
        <is>
          <t>SPSO, que utiliza sistema de coordenadas esféricas para representar movimientos del UAV</t>
        </is>
      </c>
      <c r="O8" t="inlineStr">
        <is>
          <t>Mapeo</t>
        </is>
      </c>
      <c r="P8" t="inlineStr">
        <is>
          <t>Fotografía aérea, mapeo e inspección de superficies</t>
        </is>
      </c>
      <c r="Q8" t="inlineStr">
        <is>
          <t>Centrado en planificación para un solo UAV, validado con dron 3DR Solo</t>
        </is>
      </c>
      <c r="R8" t="inlineStr">
        <is>
          <t>3D-Dinámico</t>
        </is>
      </c>
      <c r="S8" t="inlineStr">
        <is>
          <t>Amenazas prescritas en cilindros y terreno irregular derivado de datos LiDAR</t>
        </is>
      </c>
      <c r="T8" t="inlineStr">
        <is>
          <t>Evalúa tiempo de computación (ventaja de PSO) y minimización de tiempo de vuelo</t>
        </is>
      </c>
      <c r="U8" t="inlineStr">
        <is>
          <t>Minimización de consumo de combustible, relacionado directamente con longitud de trayectoria</t>
        </is>
      </c>
      <c r="V8" t="inlineStr">
        <is>
          <t>Enfoque principal es seguridad y evitación de colisiones, no cobertura de área</t>
        </is>
      </c>
      <c r="W8" t="inlineStr">
        <is>
          <t>Análisis de estabilidad y velocidad de convergencia; SPSO muestra rendimiento superior frente a variantes como QPSO</t>
        </is>
      </c>
      <c r="X8" t="inlineStr">
        <is>
          <t>Analiza escalabilidad del algoritmo al aumentar número de puntos de ruta (waypoints) de 12 a 22</t>
        </is>
      </c>
      <c r="Y8" t="inlineStr">
        <is>
          <t>Prueba estadística t-test de muestras emparejadas y pruebas de vuelo experimentales</t>
        </is>
      </c>
      <c r="Z8" t="inlineStr">
        <is>
          <t>Escenarios de referencia creados a partir de mapas de Isla de Navidad, Australia</t>
        </is>
      </c>
      <c r="AA8" t="inlineStr">
        <is>
          <t>Sí-Ambos</t>
        </is>
      </c>
      <c r="AB8" t="inlineStr">
        <is>
          <t>8 escenarios de evaluación con diferentes niveles de complejidad</t>
        </is>
      </c>
      <c r="AC8" t="inlineStr">
        <is>
          <t>Búsqueda eficiente en espacio de configuración, integración directa de restricciones de giro y ascenso, mayor capacidad para evitar óptimos locales comparado con PSO clásico</t>
        </is>
      </c>
      <c r="AD8" t="inlineStr">
        <is>
          <t>Posibilidad de convergencia prematura en ciertos escenarios y uso de restricciones "duras" que podrían no ser óptimas para cambios dinámicos rápidos</t>
        </is>
      </c>
      <c r="AE8" t="inlineStr">
        <is>
          <t>PSO clásico, θ-PSO, QPSO, GA, ABC y DE</t>
        </is>
      </c>
      <c r="AF8" t="inlineStr">
        <is>
          <t>Introducción de algoritmo SPSO y nueva función de costo integral que considera longitud, amenazas, suavidad y altura de vuelo</t>
        </is>
      </c>
      <c r="AG8" t="inlineStr">
        <is>
          <t>Incorporar restricciones basadas en modelo dinámico exacto del UAV y probar SPSO en otros problemas de optimización</t>
        </is>
      </c>
      <c r="AH8" t="inlineStr">
        <is>
          <t>Alta</t>
        </is>
      </c>
      <c r="AI8" t="inlineStr">
        <is>
          <t>Multiple</t>
        </is>
      </c>
      <c r="AJ8" t="inlineStr">
        <is>
          <t>No proporcionado en información dada</t>
        </is>
      </c>
      <c r="AK8" t="inlineStr">
        <is>
          <t>Path planning, Particle swarm optimization, UAV</t>
        </is>
      </c>
      <c r="AL8" t="inlineStr">
        <is>
          <t>SPSO es nuevo algoritmo que optimiza rutas de UAVs traduciendo posición de partículas en vectores esféricos (velocidad y ángulos), permitiendo búsqueda más efectiva en espacio de configuración y superando a algoritmos estado-de-la-arte en simulaciones y pruebas reales</t>
        </is>
      </c>
      <c r="AM8" t="inlineStr">
        <is>
          <t>Fig. 1 (Costo de amenaza), Fig. 3 (Cálculo de ángulos), Fig. 7 (Trayectorias 3D), Fig. 12 (Resultados experimentales)</t>
        </is>
      </c>
      <c r="AN8" t="inlineStr">
        <is>
          <t>Planificación de rutas es crítica para que UAVs eviten amenazas y operen eficientemente minimizando distancia o tiempo</t>
        </is>
      </c>
      <c r="AO8" t="inlineStr">
        <is>
          <t>SPSO codifica ruta como serie de vectores en coordenadas esféricas con magnitud (ρ), elevación (ψ) y azimut (ϕ)</t>
        </is>
      </c>
      <c r="AP8" t="inlineStr">
        <is>
          <t>SPSO logra mejores valores de aptitud (fitness) de manera estadística en escenarios complejos de alta densidad de obstáculos</t>
        </is>
      </c>
      <c r="AQ8" t="inlineStr">
        <is>
          <t>Algoritmo genera rutas factibles y seguras, demostrando precisión notable en seguimiento de trayectoria durante pruebas reales</t>
        </is>
      </c>
      <c r="AR8" t="inlineStr">
        <is>
          <t>Analizado</t>
        </is>
      </c>
      <c r="AS8" s="15" t="n">
        <v>46032</v>
      </c>
      <c r="AT8" t="inlineStr">
        <is>
          <t>Mapeo directo entre variables del algoritmo y capacidades físicas del dron (giro y ascenso) es lo que otorga ventaja competitiva a SPSO</t>
        </is>
      </c>
      <c r="AU8" t="inlineStr">
        <is>
          <t>Necesidad de investigar mecanismos de aleatorización, como vuelos de Lévy, para evitar que enjambre quede atrapado en soluciones locales</t>
        </is>
      </c>
    </row>
    <row r="9">
      <c r="A9" t="inlineStr">
        <is>
          <t>PAPER_010</t>
        </is>
      </c>
      <c r="B9" t="inlineStr">
        <is>
          <t>A review of artificial intelligence applied to path planning in UAV swarms.</t>
        </is>
      </c>
      <c r="C9" t="inlineStr">
        <is>
          <t>Alejandro Puente-Castro, Daniel Rivero, Alejandro Pazos, Enrique Fernandez-Blanco</t>
        </is>
      </c>
      <c r="D9" t="n">
        <v>2021</v>
      </c>
      <c r="E9" t="inlineStr">
        <is>
          <t>Neural Computing and Applications</t>
        </is>
      </c>
      <c r="F9" t="inlineStr">
        <is>
          <t>Review</t>
        </is>
      </c>
      <c r="G9" t="n">
        <v/>
      </c>
      <c r="H9" t="inlineStr">
        <is>
          <t>10.1007/s00521-021-06569-4</t>
        </is>
      </c>
      <c r="I9" t="inlineStr">
        <is>
          <t>https://doi.org/10.1007/s00521-021-06569-4</t>
        </is>
      </c>
      <c r="J9" t="inlineStr">
        <is>
          <t>IEEE Xplore</t>
        </is>
      </c>
      <c r="K9" t="inlineStr">
        <is>
          <t>39 artículos revisados</t>
        </is>
      </c>
      <c r="L9" t="inlineStr">
        <is>
          <t>Otro</t>
        </is>
      </c>
      <c r="M9" t="inlineStr">
        <is>
          <t>El estudio clasifica las técnicas en cuatro grupos principales: Aprendizaje por Refuerzo (RL), Computación Evolutiva (EC), Inteligencia de Enjambre (SI) y Redes Neuronales de Grafos (GNN).</t>
        </is>
      </c>
      <c r="N9" t="inlineStr">
        <is>
          <t>Q-Learning, Deep Q-Learning (DQN), SARSA, Algoritmos Genéticos (GA), Optimización de Colonia de Hormigas (ACO) y Optimización por Enjambre de Partículas (PSO).</t>
        </is>
      </c>
      <c r="O9" t="inlineStr">
        <is>
          <t>Búsqueda-Rescate</t>
        </is>
      </c>
      <c r="P9" t="inlineStr">
        <is>
          <t>Agricultura (monitoreo de cultivos), rescate y emergencias, vigilancia militar, monitoreo de inundaciones y usos recreativos (fotografía aérea y sustitución de fuegos artificiales).</t>
        </is>
      </c>
      <c r="Q9" t="inlineStr">
        <is>
          <t>Se enfoca en enjambres (swarms) o grupos de UAVs, analizando trabajos que van desde pocos drones hasta configuraciones masivas para tareas simultáneas.</t>
        </is>
      </c>
      <c r="R9" t="inlineStr">
        <is>
          <t>3D-Dinámico</t>
        </is>
      </c>
      <c r="S9" t="inlineStr">
        <is>
          <t>Sí-Ambos</t>
        </is>
      </c>
      <c r="T9" t="inlineStr">
        <is>
          <t>Reducción del tiempo de operación y optimización de la velocidad de vuelo.</t>
        </is>
      </c>
      <c r="U9" t="inlineStr">
        <is>
          <t>Reducción del consumo de batería y optimización del número de sensores necesarios.</t>
        </is>
      </c>
      <c r="V9" t="inlineStr">
        <is>
          <t>Capacidad para volar sobre áreas extensas y maximizar el mapeo del terreno.</t>
        </is>
      </c>
      <c r="W9" t="inlineStr">
        <is>
          <t>Relevante en algoritmos de computación evolutiva para alcanzar la solución óptima tras varias generaciones.</t>
        </is>
      </c>
      <c r="X9" t="inlineStr">
        <is>
          <t>Se discute la reducción del costo computacional mediante el uso de IA frente a métodos tradicionales como la programación dinámica o algoritmos A*.</t>
        </is>
      </c>
      <c r="Y9" t="inlineStr">
        <is>
          <t>Solo Simulación</t>
        </is>
      </c>
      <c r="Z9" t="inlineStr">
        <is>
          <t>Microsoft AirSim, DroneKit (Python), PyParrot</t>
        </is>
      </c>
      <c r="AA9" t="inlineStr">
        <is>
          <t>Sí-Ambos</t>
        </is>
      </c>
      <c r="AB9" t="inlineStr">
        <is>
          <t>El estudio analiza una muestra de 39 artículos científicos.</t>
        </is>
      </c>
      <c r="AC9" t="inlineStr">
        <is>
          <t>Mayor tolerancia a fallos, reducción de costos operativos, capacidad de abstracción de datos y ejecución de tareas imposibles para un solo UAV.</t>
        </is>
      </c>
      <c r="AD9" t="inlineStr">
        <is>
          <t>Falta de estandarización en los resultados, dependencia de leyes de vuelo, necesidad de suavizar rutas y limitaciones físicas de la batería.</t>
        </is>
      </c>
      <c r="AE9" t="inlineStr">
        <is>
          <t>Algoritmos tradicionales de búsqueda (A*), programación dinámica y comparativa de tendencias entre RL y EC.</t>
        </is>
      </c>
      <c r="AF9" t="inlineStr">
        <is>
          <t>Clasificación detallada de enfoques de IA para enjambres de UAVs e identificación de tendencias de publicación y vacíos en la estandarización de resultados.</t>
        </is>
      </c>
      <c r="AG9" t="inlineStr">
        <is>
          <t>Exploración de Redes Neuronales de Grafos (GNN), combinación de técnicas de RL y EC, y mejoras en la navegación con menos sensores.</t>
        </is>
      </c>
      <c r="AH9" t="inlineStr">
        <is>
          <t>Alta</t>
        </is>
      </c>
      <c r="AI9" t="inlineStr">
        <is>
          <t>Multiple</t>
        </is>
      </c>
      <c r="AJ9" t="inlineStr">
        <is>
          <t>@article{puentecastro2021, author = {Puente-Castro, A. and Rivero, D. and Pazos, A. and Fernandez-Blanco, E.}, title = {A review of artificial intelligence applied to path planning in UAV swarms}, journal = {Neural Computing and Applications}, year = {2022}, volume = {34}, pages = {153--170}, doi = {10.1007/s00521-021-06569-4} }</t>
        </is>
      </c>
      <c r="AK9" t="inlineStr">
        <is>
          <t>Unmanned aerial vehicle, UAV, Swarm intelligence, Path planning.</t>
        </is>
      </c>
      <c r="AL9" t="inlineStr">
        <is>
          <t>El artículo analiza el estado actual de los sistemas basados en IA para el control de enjambres de UAVs. El uso de enjambres permite acelerar tiempos de vuelo y reducir costos. La revisión clasifica los trabajos en cuatro grupos técnicos y realiza un estudio cuantitativo que muestra un aumento en las publicaciones y un cambio hacia el predominio de ciertas técnicas sobre otras.</t>
        </is>
      </c>
      <c r="AM9" t="inlineStr">
        <is>
          <t>Fig. 1 (Neurona artificial), Fig. 2 (Publicaciones por año), Fig. 3 (Publicaciones por técnica), Fig. 7 (Entornos de vuelo).</t>
        </is>
      </c>
      <c r="AN9" t="inlineStr">
        <is>
          <t>Los enjambres de UAVs representan una revolución industrial y recreativa por su bajo costo y facilidad de operación.</t>
        </is>
      </c>
      <c r="AO9" t="inlineStr">
        <is>
          <t>La revisión se realizó en dos pasos: resumen de artículos encontrados y análisis cuantitativo basado en factores como la evolución temporal.</t>
        </is>
      </c>
      <c r="AP9" t="inlineStr">
        <is>
          <t>Los resultados muestran que el Aprendizaje por Refuerzo (RL) y la Computación Evolutiva (EC) son las técnicas más utilizadas.</t>
        </is>
      </c>
      <c r="AQ9" t="inlineStr">
        <is>
          <t>Existe una falta de estandarización en los métodos de evaluación, lo que dificulta comparar la eficiencia entre diferentes propuestas.</t>
        </is>
      </c>
      <c r="AR9" t="inlineStr">
        <is>
          <t>Analizado</t>
        </is>
      </c>
      <c r="AS9" s="15" t="n">
        <v>46029</v>
      </c>
      <c r="AT9" t="inlineStr">
        <is>
          <t>El artículo destaca que el campo está en sus primeras etapas ("early stages") pero con un crecimiento acelerado.</t>
        </is>
      </c>
      <c r="AU9" t="inlineStr">
        <is>
          <t>Los autores declaran no tener conflictos de interés.</t>
        </is>
      </c>
    </row>
    <row r="10">
      <c r="A10" t="inlineStr">
        <is>
          <t>PAPER_011</t>
        </is>
      </c>
      <c r="B10" t="inlineStr">
        <is>
          <t>Path Planning for Multiple Targets Interception by the Swarm of UAVs based on Swarm Intelligence Algorithms: A Review</t>
        </is>
      </c>
      <c r="C10" t="inlineStr">
        <is>
          <t>Abhishek Sharma, Shraga Shoval, Abhinav Sharma, Jitendra Kumar Pandey</t>
        </is>
      </c>
      <c r="D10" t="n">
        <v>2021</v>
      </c>
      <c r="E10" t="inlineStr">
        <is>
          <t>IETE Technical Review</t>
        </is>
      </c>
      <c r="F10" t="inlineStr">
        <is>
          <t>Review</t>
        </is>
      </c>
      <c r="G10" t="inlineStr">
        <is>
          <t>No mencionado explícitamente</t>
        </is>
      </c>
      <c r="H10" t="inlineStr">
        <is>
          <t>10.1080/02564602.2021.1894250</t>
        </is>
      </c>
      <c r="I10" t="inlineStr">
        <is>
          <t>https://doi.org/10.1080/02564602.2021.1894250</t>
        </is>
      </c>
      <c r="J10" t="inlineStr">
        <is>
          <t>Otro</t>
        </is>
      </c>
      <c r="K10" t="inlineStr">
        <is>
          <t>Registra 102 vistas; referencia 132 fuentes bibliográficas (no especifica citas externas)</t>
        </is>
      </c>
      <c r="L10" t="inlineStr">
        <is>
          <t>Otro</t>
        </is>
      </c>
      <c r="M10" t="inlineStr">
        <is>
          <t>Revisa PSO (Particle Swarm Optimization), ACO (Ant Colony Optimization), ABC (Artificial Bee Colony), BA (Bat-inspired Algorithm), FA (Firefly Algorithm), BFOA (Bacterial Foraging Optimization Algorithm), PIOA (Pigeon-Inspired Optimization), GSOA (Glowworm Swarm Optimization)</t>
        </is>
      </c>
      <c r="N10" t="inlineStr">
        <is>
          <t>Analiza múltiples variantes como MTWPS (Modified Two-Part Wolf Pack Search), FLGA (Fuzzy Logic Genetic Algorithm), CABC (Compact Artificial Bee Colony), PPIOA (Predator-Prey Pigeon-Inspired Optimization) entre otros</t>
        </is>
      </c>
      <c r="O10" t="inlineStr">
        <is>
          <t>Otro</t>
        </is>
      </c>
      <c r="P10" t="inlineStr">
        <is>
          <t>Intercepción de múltiples objetivos móviles por enjambre de UAVs para proteger infraestructuras estratégicas</t>
        </is>
      </c>
      <c r="Q10" t="inlineStr">
        <is>
          <t>Enjambre de UAVs (grupo altamente escalable y redundante); simulaciones citadas mencionan desde grupos pequeños hasta 25 objetivos</t>
        </is>
      </c>
      <c r="R10" t="inlineStr">
        <is>
          <t>3D-Dinámico</t>
        </is>
      </c>
      <c r="S10" t="inlineStr">
        <is>
          <t>Múltiples obstáculos dinámicos, terrenos montañosos, zonas de amenaza (radares)</t>
        </is>
      </c>
      <c r="T10" t="inlineStr">
        <is>
          <t>Tiempo total de misión, tiempo de interceptación, tiempo de cómputo del algoritmo</t>
        </is>
      </c>
      <c r="U10" t="inlineStr">
        <is>
          <t>Consumo de combustible (Fuel cost)</t>
        </is>
      </c>
      <c r="V10" t="inlineStr">
        <is>
          <t>Probabilidad de existencia del objetivo y búsqueda en áreas restringidas</t>
        </is>
      </c>
      <c r="W10" t="inlineStr">
        <is>
          <t>Velocidad de convergencia y capacidad para evitar mínimos locales</t>
        </is>
      </c>
      <c r="X10" t="inlineStr">
        <is>
          <t>Evaluada en función del número de robots (N) y objetivos (T); destaca que PSO tiene baja complejidad comparado con ACO o BFO</t>
        </is>
      </c>
      <c r="Y10" t="inlineStr">
        <is>
          <t>Revisión Teórica</t>
        </is>
      </c>
      <c r="Z10" t="inlineStr">
        <is>
          <t>Menciona diversos entornos usados en literatura como MATLAB, modelos basados en grafos MAKLINK y Octomap</t>
        </is>
      </c>
      <c r="AA10" t="inlineStr">
        <is>
          <t>No</t>
        </is>
      </c>
      <c r="AB10" t="inlineStr">
        <is>
          <t>No aplica por ser artículo de revisión</t>
        </is>
      </c>
      <c r="AC10" t="inlineStr">
        <is>
          <t>Enjambres ofrecen escalabilidad, flexibilidad y robustez ante fallos de unidades individuales</t>
        </is>
      </c>
      <c r="AD10" t="inlineStr">
        <is>
          <t>Riesgo de quedar atrapados en mínimos locales (PSO), complejidad en ajuste de parámetros (ACO, BA), lentitud de convergencia en problemas de alta dimensión (ABC, BFO)</t>
        </is>
      </c>
      <c r="AE10" t="inlineStr">
        <is>
          <t>Algoritmos clásicos como A*, Mapas de Carreteras Probabilísticos (PRM), Campos Potenciales Artificiales (APF)</t>
        </is>
      </c>
      <c r="AF10" t="inlineStr">
        <is>
          <t>Provee revisión exhaustiva centrada específicamente en intercepción de objetivos móviles, evaluando críticamente técnicas de modelado de entorno, asignación de tareas y funciones de costo</t>
        </is>
      </c>
      <c r="AG10" t="inlineStr">
        <is>
          <t>Explorar algoritmos híbridos que superen limitaciones de métodos actuales y mejoren optimización de trayectorias</t>
        </is>
      </c>
      <c r="AH10" t="inlineStr">
        <is>
          <t>Alta</t>
        </is>
      </c>
      <c r="AI10" t="inlineStr">
        <is>
          <t>Multiple</t>
        </is>
      </c>
      <c r="AJ10" t="inlineStr">
        <is>
          <t>Datos disponibles para construcción manual (Sharma et al., 2021)</t>
        </is>
      </c>
      <c r="AK10" t="inlineStr">
        <is>
          <t>ABC; ACO; BA; 3D path planning; PSO; SI; UAV</t>
        </is>
      </c>
      <c r="AL10" t="inlineStr">
        <is>
          <t>Aborda desafío de interceptar múltiples amenazas móviles mediante enjambres de UAVs, enfocándose en asignación de tareas y planificación de rutas 3D utilizando algoritmos de Inteligencia de Enjambre (SI)</t>
        </is>
      </c>
      <c r="AM10" t="inlineStr">
        <is>
          <t>10 figuras representando proceso general de planificación (Fig 1), modelos de comportamiento de cada algoritmo (Fig 2-9), estadísticas de publicación (Fig 10)</t>
        </is>
      </c>
      <c r="AN10" t="inlineStr">
        <is>
          <t>Artículo se enfoca en intercepción de objetivos móviles como problema crítico para infraestructuras estratégicas</t>
        </is>
      </c>
      <c r="AO10" t="inlineStr">
        <is>
          <t>Revisa técnicas de modelado 3D como MAKLINK, Octomap y funciones de fitness para intercepción</t>
        </is>
      </c>
      <c r="AP10" t="inlineStr">
        <is>
          <t>Compara complejidad computacional y rendimiento de algoritmos SI para problemas de alta dimensionalidad</t>
        </is>
      </c>
      <c r="AQ10" t="inlineStr">
        <is>
          <t>Concluye que algoritmos híbridos podrían superar limitaciones actuales y ser enfoque futuro prometedor</t>
        </is>
      </c>
      <c r="AR10" t="inlineStr">
        <is>
          <t>Analizado</t>
        </is>
      </c>
      <c r="AS10" s="15" t="n">
        <v>46033</v>
      </c>
      <c r="AT10" t="inlineStr">
        <is>
          <t>Revisión sistemática que clasifica algoritmos por tipo y ofrece comparación crítica útil para seleccionar método adecuado</t>
        </is>
      </c>
      <c r="AU10" t="inlineStr">
        <is>
          <t>No se especifican conflictos de interés en información proporcionada</t>
        </is>
      </c>
    </row>
    <row r="11">
      <c r="A11" t="inlineStr">
        <is>
          <t>PAPER_012</t>
        </is>
      </c>
      <c r="B11" t="inlineStr">
        <is>
          <t>A Novel Sparrow Particle Swarm Algorithm (SPSA) for Unmanned Aerial Vehicle Path Planning</t>
        </is>
      </c>
      <c r="C11" t="inlineStr">
        <is>
          <t>Wangwang Yu, Jun Liu, Jie Zhou</t>
        </is>
      </c>
      <c r="D11" t="n">
        <v>2021</v>
      </c>
      <c r="E11" t="inlineStr">
        <is>
          <t>Scientific Programming (Volumen 2021)</t>
        </is>
      </c>
      <c r="F11" t="inlineStr">
        <is>
          <t>Journal</t>
        </is>
      </c>
      <c r="G11" t="inlineStr">
        <is>
          <t>Fuentes no mencionan factor de impacto específico</t>
        </is>
      </c>
      <c r="H11" t="inlineStr">
        <is>
          <t>https://doi.org/10.1155/2021/5158304</t>
        </is>
      </c>
      <c r="I11" t="inlineStr">
        <is>
          <t>https://onlinelibrary.wiley.com/doi/10.1155/2021/5158304</t>
        </is>
      </c>
      <c r="J11" t="inlineStr">
        <is>
          <t>Otro</t>
        </is>
      </c>
      <c r="K11" t="inlineStr">
        <is>
          <t>No especifica número de citas; incluye 35 referencias bibliográficas</t>
        </is>
      </c>
      <c r="L11" t="inlineStr">
        <is>
          <t>Otro</t>
        </is>
      </c>
      <c r="M11" t="inlineStr">
        <is>
          <t>Particle Swarm Optimization (PSO)</t>
        </is>
      </c>
      <c r="N11" t="inlineStr">
        <is>
          <t>Sparrow Particle Swarm Algorithm (SPSA)</t>
        </is>
      </c>
      <c r="O11" t="inlineStr">
        <is>
          <t>Otro</t>
        </is>
      </c>
      <c r="P11" t="inlineStr">
        <is>
          <t>Navegación de Vehículos Aéreos No Tripulados (UAV) en entornos 3D complejos</t>
        </is>
      </c>
      <c r="Q11" t="inlineStr">
        <is>
          <t>Centrado en planificación de un solo UAV para alcanzar punto objetivo desde punto de inicio</t>
        </is>
      </c>
      <c r="R11" t="inlineStr">
        <is>
          <t>3D-Dinámico</t>
        </is>
      </c>
      <c r="S11" t="inlineStr">
        <is>
          <t>Edificios cuadrados (modelados como obstáculos cuadrados) y edificios cilíndricos (modelados como cilindros)</t>
        </is>
      </c>
      <c r="T11" t="inlineStr">
        <is>
          <t>Reducir tiempo de cálculo mediante simplificación del modelo ambiental y mejora de eficiencia de búsqueda</t>
        </is>
      </c>
      <c r="U11" t="inlineStr">
        <is>
          <t>Calculada como suma de energía de trayectoria, energía de giro y energía de ascenso/descenso (E=E_path + E_turning + E_climb)</t>
        </is>
      </c>
      <c r="V11" t="inlineStr">
        <is>
          <t>No mencionada como métrica principal; enfoque en tasa de éxito de puntos objetivo alcanzados</t>
        </is>
      </c>
      <c r="W11" t="inlineStr">
        <is>
          <t>Velocidad de convergencia y valor de aptitud (fitness value) tras 1000 iteraciones</t>
        </is>
      </c>
      <c r="X11" t="inlineStr">
        <is>
          <t>O(N×D×A×B+M×N×D), donde N es número de individuos, D la dimensión y M máximo de iteraciones</t>
        </is>
      </c>
      <c r="Y11" t="inlineStr">
        <is>
          <t>Simulación+Experimentos</t>
        </is>
      </c>
      <c r="Z11" t="inlineStr">
        <is>
          <t>Software MATLAB 2020b ejecutado en CPU Intel Xeon E5-2450H con 32G de RAM y GPU GTX 1050 Ti</t>
        </is>
      </c>
      <c r="AA11" t="inlineStr">
        <is>
          <t>No</t>
        </is>
      </c>
      <c r="AB11" t="inlineStr">
        <is>
          <t>30 ejecuciones por cada uno de los 6 algoritmos comparados en 3 entornos distintos</t>
        </is>
      </c>
      <c r="AC11" t="inlineStr">
        <is>
          <t>Buena velocidad de convergencia, capacidad para evitar óptimos locales, reducción de oscilaciones en trayectoria, bajo consumo energético</t>
        </is>
      </c>
      <c r="AD11" t="inlineStr">
        <is>
          <t>Presencia de muchos obstáculos puede estancar búsqueda tradicional; SPSA aborda con estrategias de "escape", pero requiere optimización de oscilación adaptativa para no perder ruta óptima</t>
        </is>
      </c>
      <c r="AE11" t="inlineStr">
        <is>
          <t>CSO (Chicken Swarm Optimization), DE (Differential Evolution), GWO (Grey Wolf Optimizer), PSO y SSA tradicional</t>
        </is>
      </c>
      <c r="AF11" t="inlineStr">
        <is>
          <t>Introducción de método de inicialización de ruta basado en geometría, actualización de posición de productores influenciada por línea inicio-fin, búsqueda de escape de velocidad variable y suavizado mediante interpolación de splines cúbicos</t>
        </is>
      </c>
      <c r="AG11" t="inlineStr">
        <is>
          <t>No hay sección específica, se concluye que algoritmo es apto para entornos de vuelo reales por su suavidad y eficiencia</t>
        </is>
      </c>
      <c r="AH11" t="inlineStr">
        <is>
          <t>Alta</t>
        </is>
      </c>
      <c r="AI11" t="inlineStr">
        <is>
          <t>Multiple</t>
        </is>
      </c>
      <c r="AJ11" t="inlineStr">
        <is>
          <t>No proporcionada explícitamente; datos permiten construir (Autores: Yu et al., 2021, Scientific Programming)</t>
        </is>
      </c>
      <c r="AK11" t="inlineStr">
        <is>
          <t>UAV, path planning, sparrow search algorithm, particle swarm algorithm</t>
        </is>
      </c>
      <c r="AL11" t="inlineStr">
        <is>
          <t>Propone SPSA para mejorar planificación de rutas de UAVs, enfrentando problemas de convergencia prematura. Algoritmo mejora inicialización, búsqueda cerca de línea de meta y utiliza escapes adaptativos en zonas de estancamiento, optimizando trayectoria con splines cúbicos para mayor suavidad</t>
        </is>
      </c>
      <c r="AM11" t="inlineStr">
        <is>
          <t>Figura 1 (Modelado ambiental), Figura 2 (Esquema de selección de ruta), Figura 5 (Flujograma del SPSA), Figuras 7-9 (Comparación de trayectorias)</t>
        </is>
      </c>
      <c r="AN11" t="inlineStr">
        <is>
          <t>UAVs se ven afectados por edificios, clima y consumo de energía en entornos 3D complejos</t>
        </is>
      </c>
      <c r="AO11" t="inlineStr">
        <is>
          <t>Se propone inicialización de ruta que evita diferencias excesivas entre nodos adyacentes para mejorar convergencia</t>
        </is>
      </c>
      <c r="AP11" t="inlineStr">
        <is>
          <t>SPSA presenta desviación estándar significativamente menor (0.89 a 5.84) comparado con otros algoritmos, indicando alta robustez</t>
        </is>
      </c>
      <c r="AQ11" t="inlineStr">
        <is>
          <t>Algoritmo híbrido SPSA tiene mejor capacidad de búsqueda en entornos complejos y trayectorias más suaves aptas para vuelo real</t>
        </is>
      </c>
      <c r="AR11" t="inlineStr">
        <is>
          <t>Analizado</t>
        </is>
      </c>
      <c r="AS11" s="15" t="n">
        <v>46033</v>
      </c>
      <c r="AT11" t="inlineStr">
        <is>
          <t>Algoritmo destaca por enfoque biónico híbrido, tomando exploración del SSA e influencia global del PSO</t>
        </is>
      </c>
      <c r="AU11" t="inlineStr">
        <is>
          <t>Autores declaran no tener conflictos de interés</t>
        </is>
      </c>
    </row>
    <row r="12">
      <c r="A12" t="inlineStr">
        <is>
          <t>PAPER_013</t>
        </is>
      </c>
      <c r="B12" t="inlineStr">
        <is>
          <t>Chaos Particle Swarm Optimization Enhancement Algorithm for UAV Safe Path Planning</t>
        </is>
      </c>
      <c r="C12" t="inlineStr">
        <is>
          <t>Hongyue Chu, Junkai Yi, Fei Yang</t>
        </is>
      </c>
      <c r="D12" t="n">
        <v>2022</v>
      </c>
      <c r="E12" t="inlineStr">
        <is>
          <t>Applied Sciences (MDPI)</t>
        </is>
      </c>
      <c r="F12" t="inlineStr">
        <is>
          <t>Journal</t>
        </is>
      </c>
      <c r="G12" t="inlineStr">
        <is>
          <t>Fuentes no mencionan explícitamente factor de impacto actual</t>
        </is>
      </c>
      <c r="H12" t="inlineStr">
        <is>
          <t>10.3390/app12188977</t>
        </is>
      </c>
      <c r="I12" t="inlineStr">
        <is>
          <t>https://doi.org/10.3390/app12188977</t>
        </is>
      </c>
      <c r="J12" t="inlineStr">
        <is>
          <t>Otro</t>
        </is>
      </c>
      <c r="K12" t="inlineStr">
        <is>
          <t>No especifica número de citas recibidas</t>
        </is>
      </c>
      <c r="L12" t="inlineStr">
        <is>
          <t>PSO</t>
        </is>
      </c>
      <c r="M12" t="inlineStr">
        <is>
          <t>Teoría del Caos (mapas logísticos) y Pesos de Inercia Dinámicos No Lineales (INDIW)</t>
        </is>
      </c>
      <c r="N12" t="inlineStr">
        <is>
          <t>Algoritmo IC-VAINDIWPSO (Improved Chaotic-VAINDIWPSO)</t>
        </is>
      </c>
      <c r="O12" t="inlineStr">
        <is>
          <t>Otro</t>
        </is>
      </c>
      <c r="P12" t="inlineStr">
        <is>
          <t>Navegación autónoma en entornos tridimensionales (3D) con múltiples amenazas y restricciones de terreno</t>
        </is>
      </c>
      <c r="Q12" t="inlineStr">
        <is>
          <t>Pruebas centradas en trayectoria de un UAV individual entre punto de inicio y objetivo</t>
        </is>
      </c>
      <c r="R12" t="inlineStr">
        <is>
          <t>3D-Dinámico</t>
        </is>
      </c>
      <c r="S12" t="inlineStr">
        <is>
          <t>Amenazas representadas como cilindros, divididas en zonas de colisión y zonas de peligro</t>
        </is>
      </c>
      <c r="T12" t="inlineStr">
        <is>
          <t>Evalúa tiempo de inicialización (reducido 86.35% frente a PSO) y tiempo de ejecución por iteración</t>
        </is>
      </c>
      <c r="U12" t="inlineStr">
        <is>
          <t>No medida directamente, optimizada mediante longitud total de trayectoria (Costo F1)</t>
        </is>
      </c>
      <c r="V12" t="inlineStr">
        <is>
          <t>No aplica, es tarea de navegación punto a punto</t>
        </is>
      </c>
      <c r="W12" t="inlineStr">
        <is>
          <t>Velocidad de convergencia medida en iteraciones; IC-VAINDIWPSO converge aproximadamente en 20 a 25 iteraciones</t>
        </is>
      </c>
      <c r="X12" t="inlineStr">
        <is>
          <t>No definida en términos de O-notación; validada mediante eficiencia en tiempo real y reducción de iteraciones necesarias para óptimo</t>
        </is>
      </c>
      <c r="Y12" t="inlineStr">
        <is>
          <t>Simulación+Experimentos</t>
        </is>
      </c>
      <c r="Z12" t="inlineStr">
        <is>
          <t>Servidor con CPU de 2.1 GHz, 16.00 GB de RAM, sistema operativo de 64 bits</t>
        </is>
      </c>
      <c r="AA12" t="inlineStr">
        <is>
          <t>No</t>
        </is>
      </c>
      <c r="AB12" t="inlineStr">
        <is>
          <t>Poblaciones iniciales de 500 a 1000 partículas y mapa de elevación digital de Isla de Navidad</t>
        </is>
      </c>
      <c r="AC12" t="inlineStr">
        <is>
          <t>Rápida velocidad de convergencia, trayectorias más suaves, menor tiempo de inicialización, alta capacidad para escapar de óptimos locales</t>
        </is>
      </c>
      <c r="AD12" t="inlineStr">
        <is>
          <t>Experimento realizado solo en entornos estáticos sin considerar obstáculos dinámicos ni efectos meteorológicos complejos</t>
        </is>
      </c>
      <c r="AE12" t="inlineStr">
        <is>
          <t>PSO estándar, VAINDIWPSO, QPSO (Quantum-behaved PSO), Algoritmos Genéticos (GA), ABC (Artificial Bee Colony)</t>
        </is>
      </c>
      <c r="AF12" t="inlineStr">
        <is>
          <t>Integración de ajuste adaptativo de velocidad, inicialización caótica y mapas logísticos mejorados con pesos de inercia no lineales para optimizar rutas 3D</t>
        </is>
      </c>
      <c r="AG12" t="inlineStr">
        <is>
          <t>Investigar planificación en entornos con obstáculos dinámicos y considerar más restricciones físicas del UAV</t>
        </is>
      </c>
      <c r="AH12" t="inlineStr">
        <is>
          <t>Alta</t>
        </is>
      </c>
      <c r="AI12" t="inlineStr">
        <is>
          <t>Multiple</t>
        </is>
      </c>
      <c r="AJ12" t="inlineStr">
        <is>
          <t>No incluido; metadatos disponibles (Chu, Yi, Yang, 2022, Applied Sciences, vol. 12, issue 18)</t>
        </is>
      </c>
      <c r="AK12" t="inlineStr">
        <is>
          <t>UAV, path planning, improve particle swarm optimization, improved nonlinear dynamic inertia weights, chaos theory, adaptive adjustment of velocity</t>
        </is>
      </c>
      <c r="AL12" t="inlineStr">
        <is>
          <t>Propone algoritmo IC-VAINDIWPSO para planificación de rutas 3D en UAVs. Introduce pesos de inercia dinámicos no lineales y perturbación de velocidad para mejorar convergencia. Suma inicialización caótica y mapas logísticos, logra soluciones casi óptimas, reduciendo tiempo de inicialización y produciendo rutas más suaves en entornos con múltiples amenazas</t>
        </is>
      </c>
      <c r="AM12" t="inlineStr">
        <is>
          <t>Figura 1 (Modelo de amenaza), Figura 2 (Ángulos de giro y trepada), Figura 3 (Entorno 3D), Figura 7 (Gráfica de convergencia), Figuras 10 y 12 (Resultados del IC-VAINDIWPSO)</t>
        </is>
      </c>
      <c r="AN12" t="inlineStr">
        <is>
          <t>La planificación de rutas seguras para UAV es de gran magnitud para la tasa de finalización y eficiencia de las tareas</t>
        </is>
      </c>
      <c r="AO12" t="inlineStr">
        <is>
          <t>Se introdujeron pesos de inercia dinámicos no lineales mejorados (INDIW) en el algoritmo PSO</t>
        </is>
      </c>
      <c r="AP12" t="inlineStr">
        <is>
          <t>El algoritmo IC-VAINDIWPSO mejora sustancialmente la velocidad de convergencia y reduce el valor de la función de aptitud</t>
        </is>
      </c>
      <c r="AQ12" t="inlineStr">
        <is>
          <t>El algoritmo IC-VAINDIWPSO puede alcanzar soluciones casi óptimas en la mayoría de los escenarios</t>
        </is>
      </c>
      <c r="AR12" t="inlineStr">
        <is>
          <t>Analizado</t>
        </is>
      </c>
      <c r="AS12" s="15" t="n">
        <v>46033</v>
      </c>
      <c r="AT12" t="inlineStr">
        <is>
          <t>Uso de teoría del caos permite que partículas exploren espacio de solución de manera más uniforme, evitando estancamiento común del PSO tradicional</t>
        </is>
      </c>
      <c r="AU12" t="inlineStr">
        <is>
          <t>Autores declaran no tener conflictos de interés</t>
        </is>
      </c>
    </row>
    <row r="13">
      <c r="A13" t="inlineStr">
        <is>
          <t>PAPER_014</t>
        </is>
      </c>
      <c r="B13" t="inlineStr">
        <is>
          <t>Coverage Path Planning Methods Focusing on Energy Efficient and Cooperative Strategies for Unmanned Aerial Vehicles</t>
        </is>
      </c>
      <c r="C13" t="inlineStr">
        <is>
          <t>Georgios Fevgas, Thomas Lagkas, Vasileios Argyriou, Panagiotis Sarigiannidis</t>
        </is>
      </c>
      <c r="D13" t="n">
        <v>2022</v>
      </c>
      <c r="E13" t="inlineStr">
        <is>
          <t>Sensors (MDPI)</t>
        </is>
      </c>
      <c r="F13" t="inlineStr">
        <is>
          <t>Review</t>
        </is>
      </c>
      <c r="G13" t="inlineStr">
        <is>
          <t>No especificado</t>
        </is>
      </c>
      <c r="H13" t="inlineStr">
        <is>
          <t>10.3390/s22031235</t>
        </is>
      </c>
      <c r="I13" t="inlineStr">
        <is>
          <t>https://doi.org/10.3390/s22031235</t>
        </is>
      </c>
      <c r="J13" t="inlineStr">
        <is>
          <t>IEEE Xplore</t>
        </is>
      </c>
      <c r="K13" t="inlineStr">
        <is>
          <t>Analiza 128 publicaciones clasificadas, con 88 incluidas en versión refinada</t>
        </is>
      </c>
      <c r="L13" t="inlineStr">
        <is>
          <t>Otro</t>
        </is>
      </c>
      <c r="M13" t="inlineStr">
        <is>
          <t>Descomposición celular (exacta y aproximada), búsqueda en grafos, redes neuronales, algoritmos bio-inspirados (ACO)</t>
        </is>
      </c>
      <c r="N13" t="inlineStr">
        <is>
          <t>Boustrophedon, Morse-based, Wavefront, Spanning Tree Coverage (STC), Spiral-STC</t>
        </is>
      </c>
      <c r="O13" t="inlineStr">
        <is>
          <t>Búsqueda-Rescate</t>
        </is>
      </c>
      <c r="P13" t="inlineStr">
        <is>
          <t>Agricultura de precisión, búsqueda y rescate, extinción de incendios, inspección de líneas eléctricas, gestión de desastres, vigilancia</t>
        </is>
      </c>
      <c r="Q13" t="inlineStr">
        <is>
          <t>UAV único y múltiples UAVs (flotas homogéneas y heterogéneas)</t>
        </is>
      </c>
      <c r="R13" t="inlineStr">
        <is>
          <t>3D-Dinámico</t>
        </is>
      </c>
      <c r="S13" t="inlineStr">
        <is>
          <t>Obstáculos fijos, cóncavos, convexos, zonas de exclusión aérea (no-flight zones), edificios</t>
        </is>
      </c>
      <c r="T13" t="inlineStr">
        <is>
          <t>Minimización del tiempo de ejecución, latencia de comunicación, tiempo de finalización de misión</t>
        </is>
      </c>
      <c r="U13" t="inlineStr">
        <is>
          <t>Consumo de batería, explotación de energía del viento, reducción de giros, optimización de velocidad</t>
        </is>
      </c>
      <c r="V13" t="inlineStr">
        <is>
          <t>Maximización del área cubierta y minimización del solapamiento (overlapping)</t>
        </is>
      </c>
      <c r="W13" t="inlineStr">
        <is>
          <t>No especificado (mencionado en contexto de optimización con algoritmos genéticos)</t>
        </is>
      </c>
      <c r="X13" t="inlineStr">
        <is>
          <t>Algoritmos offline requieren menos potencia de CPU que los online</t>
        </is>
      </c>
      <c r="Y13" t="inlineStr">
        <is>
          <t>Simulación+Experimentos</t>
        </is>
      </c>
      <c r="Z13" t="inlineStr">
        <is>
          <t>No especificado (menciona simulaciones generales en trabajos citados)</t>
        </is>
      </c>
      <c r="AA13" t="inlineStr">
        <is>
          <t>No</t>
        </is>
      </c>
      <c r="AB13" t="inlineStr">
        <is>
          <t>170 artículos filtrados inicialmente, 128 clasificados por relevancia</t>
        </is>
      </c>
      <c r="AC13" t="inlineStr">
        <is>
          <t>Reducción de complejidad en áreas irregulares, división de carga en multi-UAV, ganancia energética mediante viento</t>
        </is>
      </c>
      <c r="AD13" t="inlineStr">
        <is>
          <t>Afectación aerodinámica por viento, dificultades de comunicación en flotas, restricciones de batería</t>
        </is>
      </c>
      <c r="AE13" t="inlineStr">
        <is>
          <t>Cabreira et al., Galceran y Carreras, Almandhoun et al., Chen et al.</t>
        </is>
      </c>
      <c r="AF13" t="inlineStr">
        <is>
          <t>Revisión integral que une métodos de descomposición, estrategias multi-robot y comparativas de ahorro energético bajo restricciones ambientales</t>
        </is>
      </c>
      <c r="AG13" t="inlineStr">
        <is>
          <t>Estimación de viento estocástico online, integración de Machine Learning/Deep Learning y sensores IoT</t>
        </is>
      </c>
      <c r="AH13" t="inlineStr">
        <is>
          <t>Alta</t>
        </is>
      </c>
      <c r="AI13" t="inlineStr">
        <is>
          <t>Multiple</t>
        </is>
      </c>
      <c r="AJ13" t="inlineStr">
        <is>
          <t>No especificado</t>
        </is>
      </c>
      <c r="AK13" t="inlineStr">
        <is>
          <t>coverage path planning; unmanned aerial vehicle; cell decomposition; decomposition methods; energy-aware approaches; energy optimal path; multi-robot systems; multi-UAV</t>
        </is>
      </c>
      <c r="AL13" t="inlineStr">
        <is>
          <t>Revisa métodos de CPP para minimizar solapamiento y tiempo, enfocándose en estrategias cooperativas multi-UAV y algoritmos de eficiencia energética para futuras investigaciones</t>
        </is>
      </c>
      <c r="AM13" t="inlineStr">
        <is>
          <t>Boustrophedon (1), Square (2), Trapezoidal (3), Boustrophedon decomp. (4), Morse (5), Slice (6), Grid-based (7), Wavefront (8), Spanning Tree (9), Neural Network (10)</t>
        </is>
      </c>
      <c r="AN13" t="inlineStr">
        <is>
          <t>Analiza desarrollo tecnológico de UAVs y aplicaciones críticas en tiempo y espacio</t>
        </is>
      </c>
      <c r="AO13" t="inlineStr">
        <is>
          <t>Detalla revisión sistemática en bases digitales usando palabras clave específicas</t>
        </is>
      </c>
      <c r="AP13" t="inlineStr">
        <is>
          <t>Discute efectividad de descomposición celular e impacto de factores ambientales como el viento</t>
        </is>
      </c>
      <c r="AQ13" t="inlineStr">
        <is>
          <t>Enfatiza necesidad de combinar IA e IoT para maximizar ahorro energético en misiones dinámicas</t>
        </is>
      </c>
      <c r="AR13" t="inlineStr">
        <is>
          <t>Analizado</t>
        </is>
      </c>
      <c r="AS13" s="15" t="n">
        <v>46033</v>
      </c>
      <c r="AT13" t="inlineStr">
        <is>
          <t xml:space="preserve">La planificación de trayectorias de cobertura (CPP) para UAVs tiene como objetivo principal cubrir un área de interés completa minimizando el solapamiento y el tiempo de misión. Estos métodos se dividen en offline, que utilizan conocimiento previo del entorno para ahorrar recursos de procesamiento, y online, que dependen de sensores a bordo para adaptarse a entornos desconocidos en tiempo real. La investigación destaca que la eficiencia energética es un factor crítico, lográndose mediante la reducción del número de giros y la explotación de la dirección del viento, donde volar de forma perpendicular a este optimiza el consumo de batería. </t>
        </is>
      </c>
      <c r="AU13" t="inlineStr">
        <is>
          <t>Autores declaran que no existen conflictos de interés</t>
        </is>
      </c>
    </row>
    <row r="14">
      <c r="A14" t="inlineStr">
        <is>
          <t>PAPER_015</t>
        </is>
      </c>
      <c r="B14" t="inlineStr">
        <is>
          <t>Optimization Methods Applied to Motion Planning of Unmanned Aerial Vehicles: A Review</t>
        </is>
      </c>
      <c r="C14" t="inlineStr">
        <is>
          <t>Amber Israr, Zain Anwar Ali, Eman H. Alkhammash, Jari Juhani Jussila</t>
        </is>
      </c>
      <c r="D14" t="n">
        <v>2022</v>
      </c>
      <c r="E14" t="inlineStr">
        <is>
          <t>Drones (MDPI)</t>
        </is>
      </c>
      <c r="F14" t="inlineStr">
        <is>
          <t>Review</t>
        </is>
      </c>
      <c r="G14" t="inlineStr">
        <is>
          <t>No mencionado (información externa: ~5.532 en 2022)</t>
        </is>
      </c>
      <c r="H14" t="inlineStr">
        <is>
          <t>10.3390/drones6050126</t>
        </is>
      </c>
      <c r="I14" t="inlineStr">
        <is>
          <t>https://doi.org/10.3390/drones6050126</t>
        </is>
      </c>
      <c r="J14" t="inlineStr">
        <is>
          <t>Otro</t>
        </is>
      </c>
      <c r="K14" t="inlineStr">
        <is>
          <t>Incluye 88 referencias bibliográficas</t>
        </is>
      </c>
      <c r="L14" t="inlineStr">
        <is>
          <t>Otro</t>
        </is>
      </c>
      <c r="M14" t="inlineStr">
        <is>
          <t>Algoritmos físicos y geográficos</t>
        </is>
      </c>
      <c r="N14" t="inlineStr">
        <is>
          <t>Algoritmos basados en enjambres (swarm-based) y basados en evolución (evolution-based)</t>
        </is>
      </c>
      <c r="O14" t="inlineStr">
        <is>
          <t>Búsqueda-Rescate</t>
        </is>
      </c>
      <c r="P14" t="inlineStr">
        <is>
          <t>Evitación de colisiones, control de formación, vigilancia militar, búsqueda y rescate, entrega de paquetes civiles</t>
        </is>
      </c>
      <c r="Q14" t="inlineStr">
        <is>
          <t>Analiza UAVs individuales y múltiples (enjambres/cooperativos)</t>
        </is>
      </c>
      <c r="R14" t="inlineStr">
        <is>
          <t>3D-Dinámico</t>
        </is>
      </c>
      <c r="S14" t="inlineStr">
        <is>
          <t>Obstáculos estáticos, dinámicos, densos tipo U, amenazas (radares, misiles)</t>
        </is>
      </c>
      <c r="T14" t="inlineStr">
        <is>
          <t>Reducción de tiempo de ejecución, tiempo de búsqueda, tiempo de convergencia</t>
        </is>
      </c>
      <c r="U14" t="inlineStr">
        <is>
          <t>Reducción de consumo de energía, eficiencia energética</t>
        </is>
      </c>
      <c r="V14" t="inlineStr">
        <is>
          <t>Eficiencia en escaneo de estructuras complejas y operaciones marítimas</t>
        </is>
      </c>
      <c r="W14" t="inlineStr">
        <is>
          <t>Mejora en tasa de convergencia y minimización de error de convergencia</t>
        </is>
      </c>
      <c r="X14" t="inlineStr">
        <is>
          <t>Discutida como limitación en varios algoritmos por tamaño de población o inversión de matrices</t>
        </is>
      </c>
      <c r="Y14" t="inlineStr">
        <is>
          <t>Revisión Teórica</t>
        </is>
      </c>
      <c r="Z14" t="inlineStr">
        <is>
          <t>Uso de simuladores de código abierto, entornos 3D continuos, simulación hardware-in-the-loop (HIL)</t>
        </is>
      </c>
      <c r="AA14" t="inlineStr">
        <is>
          <t>No</t>
        </is>
      </c>
      <c r="AB14" t="inlineStr">
        <is>
          <t>Técnicas como aprendizaje reforzado requieren grandes conjuntos de datos para entrenamiento offline; no especifica dataset propio por ser review</t>
        </is>
      </c>
      <c r="AC14" t="inlineStr">
        <is>
          <t>Robustez, flexibilidad, adaptabilidad a entornos desconocidos, reducción de costos operativos</t>
        </is>
      </c>
      <c r="AD14" t="inlineStr">
        <is>
          <t>Convergencia prematura, estancamiento en óptimos locales, alta complejidad computacional, dependencia de conexión con estaciones terrestres</t>
        </is>
      </c>
      <c r="AE14" t="inlineStr">
        <is>
          <t>Compara PSO, GA, ACO, DE y algoritmos híbridos</t>
        </is>
      </c>
      <c r="AF14" t="inlineStr">
        <is>
          <t>Evaluación de desafíos enfrentados por UAVs, resumen de técnicas prometedoras, recopilación de limitaciones de literatura reciente</t>
        </is>
      </c>
      <c r="AG14" t="inlineStr">
        <is>
          <t>Modelar enfoques de optimización inteligentes con mayor precisión y algoritmos más factibles para estrategias de planificación en 3D</t>
        </is>
      </c>
      <c r="AH14" t="inlineStr">
        <is>
          <t>Alta</t>
        </is>
      </c>
      <c r="AI14" t="inlineStr">
        <is>
          <t>Multiple</t>
        </is>
      </c>
      <c r="AJ14" t="inlineStr">
        <is>
          <t>@article{israr2022optimization, title={Optimization Methods Applied to Motion Planning of Unmanned Aerial Vehicles: A Review}, author={Israr, Amber and Ali, Zain Anwar and Alkhammash, Eman H and Jussila, Jari Juhani}, journal={Drones}, volume={6}, number={5}, pages={126}, year={2022}, publisher={MDPI}}</t>
        </is>
      </c>
      <c r="AK14" t="inlineStr">
        <is>
          <t>Unmanned aerial vehicle; motion planning; optimization techniques</t>
        </is>
      </c>
      <c r="AL14" t="inlineStr">
        <is>
          <t>Destaca importancia de UAVs en sectores militares y civiles, subrayando que planificación de movimiento con protocolos de evitación de colisiones es vital para robustez y convergencia del sistema. Analiza diversos artículos académicos centrados en algoritmos bio-inspirados para ayudar a investigadores a comprender estado del arte y limitaciones actuales</t>
        </is>
      </c>
      <c r="AM14" t="inlineStr">
        <is>
          <t>Figura 1 (Desafíos en UAVs), Figura 2 (Ejemplo de optimización combinatoria), Figura 3 (Planificación basada en muestreo), Figura 4 (Clasificación de algoritmos de optimización)</t>
        </is>
      </c>
      <c r="AN14" t="inlineStr">
        <is>
          <t>Los UAVs son robots voladores altamente atractivos y aplicables para fines militares y civiles</t>
        </is>
      </c>
      <c r="AO14" t="inlineStr">
        <is>
          <t>Este review se basa en estudios de investigación y publicaciones de autores reputados en el campo de técnicas de planificación de movimiento... en los últimos tres años</t>
        </is>
      </c>
      <c r="AP14" t="inlineStr">
        <is>
          <t>Al analizar manuscrito, se puede concluir que mejores enfoques de optimización son los basados en enjambres por su capacidad excepcional para resolver problemas complejos</t>
        </is>
      </c>
      <c r="AQ14" t="inlineStr">
        <is>
          <t>Capacidad autónoma de estas máquinas también está avanzando y actualizándose para proporcionar vuelo eficiente y formación estable en entornos dinámicos</t>
        </is>
      </c>
      <c r="AR14" t="inlineStr">
        <is>
          <t>Analizado</t>
        </is>
      </c>
      <c r="AS14" s="15" t="n">
        <v>46033</v>
      </c>
      <c r="AT14" t="inlineStr">
        <is>
          <t>Documento es guía taxonómica excelente para clasificar algoritmos en biológicos, físicos y geográficos</t>
        </is>
      </c>
      <c r="AU14" t="inlineStr">
        <is>
          <t>Se menciona que GA tiene caminos más suaves que Bi-RRT pero puede tener convergencia prematura</t>
        </is>
      </c>
    </row>
    <row r="15">
      <c r="A15" t="inlineStr">
        <is>
          <t>PAPER_016</t>
        </is>
      </c>
      <c r="B15" t="inlineStr">
        <is>
          <t>A Novel UAV Path Planning Algorithm Based on Double-Dynamic Biogeography-Based Learning Particle Swarm Optimization</t>
        </is>
      </c>
      <c r="C15" t="inlineStr">
        <is>
          <t>Yisheng Ji, Xinchao Zhao, Junling Hao</t>
        </is>
      </c>
      <c r="D15" t="n">
        <v>2022</v>
      </c>
      <c r="E15" t="inlineStr">
        <is>
          <t>Mobile Information Systems (Hindawi)</t>
        </is>
      </c>
      <c r="F15" t="inlineStr">
        <is>
          <t>Journal</t>
        </is>
      </c>
      <c r="G15" t="inlineStr">
        <is>
          <t>No mencionado (información externa: factor varía anualmente, consultar JCR)</t>
        </is>
      </c>
      <c r="H15" t="inlineStr">
        <is>
          <t>10.1155/2022/8519708</t>
        </is>
      </c>
      <c r="I15" t="inlineStr">
        <is>
          <t>https://doi.org/10.1155/2022/8519708</t>
        </is>
      </c>
      <c r="J15" t="inlineStr">
        <is>
          <t>Otro</t>
        </is>
      </c>
      <c r="K15" t="inlineStr">
        <is>
          <t>Referencia 25 trabajos previos; número de citas específico no especificado</t>
        </is>
      </c>
      <c r="L15" t="inlineStr">
        <is>
          <t>PSO</t>
        </is>
      </c>
      <c r="M15" t="inlineStr">
        <is>
          <t>Basado en PSO (Particle Swarm Optimization) y BBO (Biogeography-Based Optimization); inspirado en CLPSO y BLPSO</t>
        </is>
      </c>
      <c r="N15" t="inlineStr">
        <is>
          <t>Estrategia de aprendizaje doble-dinámico que reemplaza mecanismo tradicional de aprendizaje de mejores partículas personales y globales; cada partícula aprende de la mejor entre dos partículas seleccionadas no peores que ella misma</t>
        </is>
      </c>
      <c r="O15" t="inlineStr">
        <is>
          <t>Otro</t>
        </is>
      </c>
      <c r="P15" t="inlineStr">
        <is>
          <t>Navegación en entornos complejos con evitación de colisiones y optimización de trayectorias en terrenos realistas</t>
        </is>
      </c>
      <c r="Q15" t="inlineStr">
        <is>
          <t>Centrado en comportamiento de un solo UAV a través de diversos puntos de trayectoria (m puntos)</t>
        </is>
      </c>
      <c r="R15" t="inlineStr">
        <is>
          <t>3D-Dinámico</t>
        </is>
      </c>
      <c r="S15" t="inlineStr">
        <is>
          <t>Terrenos montañosos, edificios (altos, bajos, gigantes), suelo, zonas de peligro (áreas detectadas por radares)</t>
        </is>
      </c>
      <c r="T15" t="inlineStr">
        <is>
          <t>Evaluado mediante eficiencia y velocidad de convergencia del algoritmo en comparación con otros métodos</t>
        </is>
      </c>
      <c r="U15" t="inlineStr">
        <is>
          <t>No medida directamente en julios; optimizada mediante minimización de longitud total de ruta (f_length), reduciendo consumo de combustible/energía</t>
        </is>
      </c>
      <c r="V15" t="inlineStr">
        <is>
          <t>No es enfoque principal; objetivo es encontrar ruta óptima entre punto inicial y final</t>
        </is>
      </c>
      <c r="W15" t="inlineStr">
        <is>
          <t>Alta tasa de convergencia y precisión, especialmente en problemas de gran escala</t>
        </is>
      </c>
      <c r="X15" t="inlineStr">
        <is>
          <t>Transformación de optimización multiobjetivo restringida a objetivo único no restringida para simplificar problema y mejorar eficiencia</t>
        </is>
      </c>
      <c r="Y15" t="inlineStr">
        <is>
          <t>Solo Simulación</t>
        </is>
      </c>
      <c r="Z15" t="inlineStr">
        <is>
          <t>Realizado en MATLAB 2017b</t>
        </is>
      </c>
      <c r="AA15" t="inlineStr">
        <is>
          <t>No</t>
        </is>
      </c>
      <c r="AB15" t="inlineStr">
        <is>
          <t>Conjunto de funciones de referencia CEC2015 y modelos de terreno generados matemáticamente</t>
        </is>
      </c>
      <c r="AC15" t="inlineStr">
        <is>
          <t>Capacidad para escapar de óptimos locales, mayor tasa de convergencia, superioridad en problemas de gran escala frente a algoritmos relevantes</t>
        </is>
      </c>
      <c r="AD15" t="inlineStr">
        <is>
          <t>Rendimiento menos destacado en ciertas funciones multimodales y de composición comparado con competidores; desviación estándar (Std) relativamente grande en algunos casos de planificación de rutas, sugiriendo margen de mejora</t>
        </is>
      </c>
      <c r="AE15" t="inlineStr">
        <is>
          <t>PSO, BBO, CLPSO, BLSPSO, PBSPSO, DEBBO</t>
        </is>
      </c>
      <c r="AF15" t="inlineStr">
        <is>
          <t>Diseño de estrategia de aprendizaje doble-dinámica basada en biogeografía; propuesta de seis funciones de terreno (ciudad, aldeas, áreas montañosas con/sin casas) para simulaciones de UAV</t>
        </is>
      </c>
      <c r="AG15" t="inlineStr">
        <is>
          <t>Aplicación en exploración petrolera, aprendizaje profundo, extensión a problemas de optimización multiobjetivo o con restricciones más complejas</t>
        </is>
      </c>
      <c r="AH15" t="inlineStr">
        <is>
          <t>Alta</t>
        </is>
      </c>
      <c r="AI15" t="inlineStr">
        <is>
          <t>Multiple</t>
        </is>
      </c>
      <c r="AJ15" t="inlineStr">
        <is>
          <t>@article{ji2022novel, title={A Novel UAV Path Planning Algorithm Based on Double-Dynamic Biogeography-Based Learning Particle Swarm Optimization}, author={Ji, Yisheng and Zhao, Xinchao and Hao, Junling}, journal={Mobile Information Systems}, volume={2022}, year={2022}, publisher={Hindawi}}</t>
        </is>
      </c>
      <c r="AK15" t="inlineStr">
        <is>
          <t>UAV path planning, Particle swarm optimization, Biogeography-based learning, Double-dynamic strategy</t>
        </is>
      </c>
      <c r="AL15" t="inlineStr">
        <is>
          <t>Propone algoritmo DDBLPSO para mejorar convergencia y precisión en planificación de rutas de UAV. Utiliza estrategia donde partículas aprenden de sujetos no peores que ellas mismas, validando éxito en seis tipos de terrenos realistas y funciones benchmark</t>
        </is>
      </c>
      <c r="AM15" t="inlineStr">
        <is>
          <t>Figura 1 (Relación entre probabilidades de aprendizaje y selección), Figuras 2 y 3 (Curvas de convergencia de funciones benchmark), Figuras 4 y 5 (Curvas de convergencia en funciones de terreno)</t>
        </is>
      </c>
      <c r="AN15" t="inlineStr">
        <is>
          <t>UAV path planning is designed in a space which represents environment experienced by UAV during its flight</t>
        </is>
      </c>
      <c r="AO15" t="inlineStr">
        <is>
          <t>DDBLPSO adopts double-dynamic biogeography-based learning strategy. Under this strategy, particle only learns from itself or other even better individuals</t>
        </is>
      </c>
      <c r="AP15" t="inlineStr">
        <is>
          <t>DDBLPSO shows its dominance over other competitors on unimodal functions and hybrid functions... this means that DDBLPSO has much greater convergence rate</t>
        </is>
      </c>
      <c r="AQ15" t="inlineStr">
        <is>
          <t>Computational experiments and simulations demonstrate the performance advantages of the algorithm both in global optimization and UAV path planning</t>
        </is>
      </c>
      <c r="AR15" t="inlineStr">
        <is>
          <t>Analizado</t>
        </is>
      </c>
      <c r="AS15" s="15" t="n">
        <v>46033</v>
      </c>
      <c r="AT15" t="inlineStr">
        <is>
          <t>Enfoque en seis terrenos distintos (ciudad, aldea, montaña) aporta valor práctico superior a estudios que solo usan terrenos montañosos genéricos</t>
        </is>
      </c>
      <c r="AU15" t="inlineStr">
        <is>
          <t>Documento declara que no existen conflictos de interés</t>
        </is>
      </c>
    </row>
    <row r="16">
      <c r="A16" t="inlineStr">
        <is>
          <t>PAPER_017</t>
        </is>
      </c>
      <c r="B16" t="inlineStr">
        <is>
          <t>UAV Path Planning Using Optimization Approaches: A Survey</t>
        </is>
      </c>
      <c r="C16" t="inlineStr">
        <is>
          <t>Amylia Ait Saadi; Assia Soukane; Yassine Meraihi; Asma Benmessaoud Gabis; Seyedali Mirjalili; Amar Ramdane-Cherif</t>
        </is>
      </c>
      <c r="D16" t="n">
        <v>2022</v>
      </c>
      <c r="E16" t="inlineStr">
        <is>
          <t>Archives of Computational Methods in Engineering</t>
        </is>
      </c>
      <c r="F16" t="inlineStr">
        <is>
          <t>Review</t>
        </is>
      </c>
      <c r="G16" t="inlineStr">
        <is>
          <t>No especificado en documento</t>
        </is>
      </c>
      <c r="H16" t="inlineStr">
        <is>
          <t>https://doi.org/10.1007/s11831-022-09742-7</t>
        </is>
      </c>
      <c r="I16" t="inlineStr">
        <is>
          <t>https://link.springer.com/article/10.1007/s11831-022-09742-7</t>
        </is>
      </c>
      <c r="J16" t="inlineStr">
        <is>
          <t>IEEE Xplore</t>
        </is>
      </c>
      <c r="K16" t="inlineStr">
        <is>
          <t>&gt;150 artículos (2000-2022)</t>
        </is>
      </c>
      <c r="L16" t="inlineStr">
        <is>
          <t>Otro</t>
        </is>
      </c>
      <c r="M16" t="inlineStr">
        <is>
          <t>Analiza subcategorías como , Algoritmos Genéticos (GA), Optimización por Enjambre de Partículas (PSO)*, entre otros.</t>
        </is>
      </c>
      <c r="N16" t="inlineStr">
        <is>
          <t>Examina variantes como , mDELC, GEDGWO y RLGWO*.</t>
        </is>
      </c>
      <c r="O16" t="inlineStr">
        <is>
          <t>Búsqueda-Rescate</t>
        </is>
      </c>
      <c r="P16" t="inlineStr">
        <is>
          <t>Seguridad y vigilancia, agricultura de precisión, meteorología, arqueología y rescate en desastres.</t>
        </is>
      </c>
      <c r="Q16" t="inlineStr">
        <is>
          <t>Aborda tanto casos de un solo UAV como de UAVs múltiples (Multi-UAVs) y sistemas cooperativos.</t>
        </is>
      </c>
      <c r="R16" t="inlineStr">
        <is>
          <t>3D-Dinámico</t>
        </is>
      </c>
      <c r="S16" t="inlineStr">
        <is>
          <t>Edificios, vehículos en movimiento, montañas, árboles, radares y amenazas de misiles.</t>
        </is>
      </c>
      <c r="T16" t="inlineStr">
        <is>
          <t>Eficiencia temporal (planning time) para generar la ruta completa.</t>
        </is>
      </c>
      <c r="U16" t="inlineStr">
        <is>
          <t>Consumo de energía (batería, combustible, celdas solares).</t>
        </is>
      </c>
      <c r="V16" t="inlineStr">
        <is>
          <t>Evaluada en misiones de búsqueda y rescate o recolección de datos.</t>
        </is>
      </c>
      <c r="W16" t="inlineStr">
        <is>
          <t>Velocidad de convergencia de los algoritmos para encontrar la solución óptima.</t>
        </is>
      </c>
      <c r="X16" t="inlineStr">
        <is>
          <t>Define el problema como NP-hard. Evalúa la complejidad temporal y de recursos de cada categoría (ej. APF tiene baja complejidad temporal).</t>
        </is>
      </c>
      <c r="Y16" t="inlineStr">
        <is>
          <t>Revisión Teórica</t>
        </is>
      </c>
      <c r="Z16" t="inlineStr">
        <is>
          <t>Menciona el uso de mapas de cuadrícula, entornos 3D complejos y simuladores para validar requerimientos.</t>
        </is>
      </c>
      <c r="AA16" t="inlineStr">
        <is>
          <t>No</t>
        </is>
      </c>
      <c r="AB16" t="inlineStr">
        <is>
          <t>Para aprendizaje supervisado, señala que se requieren grandes conjuntos de datos del entorno para proporcionar soluciones óptimas.</t>
        </is>
      </c>
      <c r="AC16" t="inlineStr">
        <is>
          <t>Los métodos clásicos son fáciles de implementar; las meta-heurísticas manejan bien múltiples objetivos; el aprendizaje automático es apto para cambios repentinos.</t>
        </is>
      </c>
      <c r="AD16" t="inlineStr">
        <is>
          <t>Los métodos clásicos pueden fallar en entornos dinámicos; las meta-heurísticas no siempre garantizan la solución óptima; el aprendizaje automático tiene un alto costo computacional.</t>
        </is>
      </c>
      <c r="AE16" t="inlineStr">
        <is>
          <t>Se compara con otros surveys previos (ej. Goerzen et al., Yang et al., Zhao et al.) analizando sus contribuciones y alcances.</t>
        </is>
      </c>
      <c r="AF16" t="inlineStr">
        <is>
          <t>Proporciona una clasificación exhaustiva en cinco familias de algoritmos y propone direcciones futuras basadas en un análisis crítico de más de 150 trabajos.</t>
        </is>
      </c>
      <c r="AG16" t="inlineStr">
        <is>
          <t>Incorporar Calidad de Servicio (QoS), selección de rutas múltiples, hibridación avanzada, implementación en paralelo y manejo de incertidumbre.</t>
        </is>
      </c>
      <c r="AH16" t="inlineStr">
        <is>
          <t>Alta</t>
        </is>
      </c>
      <c r="AI16" t="inlineStr">
        <is>
          <t>Multiple</t>
        </is>
      </c>
      <c r="AJ16" t="inlineStr">
        <is>
          <t>@article{aitsaadi2022, title={UAV Path Planning Using Optimization Approaches: A Survey}, author={Ait Saadi, Amylia and others}, journal={Archives of Computational Methods in Engineering}, volume={29}, pages={4233–4284}, year={2022}, publisher={Springer}}.</t>
        </is>
      </c>
      <c r="AK16" t="inlineStr">
        <is>
          <t>UAV path planning, Optimization approaches, Classical methods, Heuristics, Meta-heuristics, Machine learning, Hybrid algorithms.</t>
        </is>
      </c>
      <c r="AL16" t="inlineStr">
        <is>
          <t>Presenta una visión general de los enfoques de planificación de rutas para UAVs autónomos, clasificándolos en cinco categorías y analizando sus objetivos, restricciones y entornos para sugerir futuras líneas de investigación.</t>
        </is>
      </c>
      <c r="AM16" t="inlineStr">
        <is>
          <t>Fig. 5 (Clasificación de enfoques), Fig. 6 (Enfoques clásicos), Fig. 18 (Distribución de enfoques).</t>
        </is>
      </c>
      <c r="AN16" t="inlineStr">
        <is>
          <t>La planificación de rutas de los UAV es uno de los problemas más importantes en la navegación y el control de los mismos</t>
        </is>
      </c>
      <c r="AO16" t="inlineStr">
        <is>
          <t>En el proceso de revisión de la literatura sobre la planificación de rutas de UAV utilizando enfoques de optimización, adoptamos la metodología de revisión sistemática de la literatura</t>
        </is>
      </c>
      <c r="AP16" t="inlineStr">
        <is>
          <t>El algoritmo APF es el enfoque más aplicado gracias a su fácil implementación, rápida convergencia y baja complejidad temporal</t>
        </is>
      </c>
      <c r="AQ16" t="inlineStr">
        <is>
          <t>La planificación de rutas de UAV es un problema de investigación importante en el campo de la robótica aérea y la automatización que ha atraído un interés creciente de varios académicos e investigadores</t>
        </is>
      </c>
      <c r="AR16" t="inlineStr">
        <is>
          <t>Analizado</t>
        </is>
      </c>
      <c r="AS16" s="15" t="n">
        <v>46050</v>
      </c>
      <c r="AT16" t="inlineStr">
        <is>
          <t>El estudio revela una clara preferencia por las meta-heurísticas (34.3%) y los métodos clásicos (25.3%). Existe una tendencia creciente hacia la hibridación (14.5%) para combinar las ventajas de diferentes algoritmos, como la velocidad de los métodos clásicos con la inteligencia de las meta-heurísticas.</t>
        </is>
      </c>
      <c r="AU16" t="inlineStr">
        <is>
          <t>Las fuentes no mencionan el Factor de Impacto de la revista ni detallan el tamaño exacto de los conjuntos de datos (datasets) necesarios para los enfoques de aprendizaje automático, limitándose a señalar que requieren "grandes conjuntos de datos". Tampoco se especifica el costo de hardware de las plataformas de prueba mencionadas como el Parrot ARDrone.</t>
        </is>
      </c>
    </row>
    <row r="17">
      <c r="A17" t="inlineStr">
        <is>
          <t>PAPER_018</t>
        </is>
      </c>
      <c r="B17" t="inlineStr">
        <is>
          <t>Design an Optimal ANFIS Controller using Bee Colony Optimization for Trajectory Tracking of a Quadrotor UAV</t>
        </is>
      </c>
      <c r="C17" t="inlineStr">
        <is>
          <t>Boumediene Selma; Samira Chouraqui; Belkacem Selma; Hassane Abouaïssa</t>
        </is>
      </c>
      <c r="D17" t="n">
        <v>2022</v>
      </c>
      <c r="E17" t="inlineStr">
        <is>
          <t>Journal of The Institution of Engineers (India): Series B, 103(5):1505-1519</t>
        </is>
      </c>
      <c r="F17" t="inlineStr">
        <is>
          <t>Journal</t>
        </is>
      </c>
      <c r="G17" t="inlineStr">
        <is>
          <t>No especificado</t>
        </is>
      </c>
      <c r="H17" t="inlineStr">
        <is>
          <t>https://doi.org/10.1007/s40031-022-00747-1</t>
        </is>
      </c>
      <c r="I17" t="inlineStr">
        <is>
          <t>https://doi.org/10.1007/s40031-022-00747-1</t>
        </is>
      </c>
      <c r="J17" t="inlineStr">
        <is>
          <t>SpringerLink</t>
        </is>
      </c>
      <c r="K17" t="inlineStr">
        <is>
          <t>No reportado en documento</t>
        </is>
      </c>
      <c r="L17" t="inlineStr">
        <is>
          <t>ABC</t>
        </is>
      </c>
      <c r="M17" t="inlineStr">
        <is>
          <t>ANFIS (Adaptive Neuro-Fuzzy Inference System)</t>
        </is>
      </c>
      <c r="N17" t="inlineStr">
        <is>
          <t>ANFIS-BCO híbrido</t>
        </is>
      </c>
      <c r="O17" t="inlineStr">
        <is>
          <t>Otro</t>
        </is>
      </c>
      <c r="P17" t="inlineStr">
        <is>
          <t>Tracking de trayectoria en plano 2D vertical (3 grados de libertad: y, z, φ)</t>
        </is>
      </c>
      <c r="Q17" t="inlineStr">
        <is>
          <t>1 UAV</t>
        </is>
      </c>
      <c r="R17" t="inlineStr">
        <is>
          <t>3D-Dinámico</t>
        </is>
      </c>
      <c r="S17" t="inlineStr">
        <is>
          <t>Matlab/Simulink (sin obstáculos explícitos)</t>
        </is>
      </c>
      <c r="T17" t="inlineStr">
        <is>
          <t>No reportada explícitamente</t>
        </is>
      </c>
      <c r="U17" t="inlineStr">
        <is>
          <t>No reportada explícitamente</t>
        </is>
      </c>
      <c r="V17" t="inlineStr">
        <is>
          <t>No aplicable (el enfoque es seguimiento de trayectoria, no cobertura de área).</t>
        </is>
      </c>
      <c r="W17" t="inlineStr">
        <is>
          <t>El algoritmo BCO facilita la convergencia hacia los parámetros óptimos del ANFIS y los errores de trayectoria convergen a cero.</t>
        </is>
      </c>
      <c r="X17" t="inlineStr">
        <is>
          <t>Se describe una arquitectura de cinco capas para el ANFIS y un proceso de selección basado en probabilidad (ruleta) para el BCO, aunque no se cuantifica la complejidad temporal.</t>
        </is>
      </c>
      <c r="Y17" t="inlineStr">
        <is>
          <t>Solo Simulación</t>
        </is>
      </c>
      <c r="Z17" t="inlineStr">
        <is>
          <t>MATLAB/Simulink</t>
        </is>
      </c>
      <c r="AA17" t="inlineStr">
        <is>
          <t>No</t>
        </is>
      </c>
      <c r="AB17" t="inlineStr">
        <is>
          <t>Se utilizan trayectorias de referencia definidas por funciones senoidales: yd(t)=2sin(t), zd(t)=5sin(t)</t>
        </is>
      </c>
      <c r="AC17" t="inlineStr">
        <is>
          <t>Reducción drástica de error (MSE&lt;10⁻²⁹); convergencia rápida; supera significativamente PID y ANFIS estándar</t>
        </is>
      </c>
      <c r="AD17" t="inlineStr">
        <is>
          <t>Sistema limitado a 3DOF en plano 2D; sin validación en hardware real; modelo linealizado cerca del punto de hover</t>
        </is>
      </c>
      <c r="AE17" t="inlineStr">
        <is>
          <t>Controladores PID convencionales y controladores ANFIS sin optimización heurística.</t>
        </is>
      </c>
      <c r="AF17" t="inlineStr">
        <is>
          <t>Método híbrido ANFIS-BCO para optimización automática de funciones de membresía en controladores neuro-difusos para sistemas no lineales</t>
        </is>
      </c>
      <c r="AG17" t="inlineStr">
        <is>
          <t>No se especifica explícitamente en las fuentes proporcionadas, más allá de la eficiencia demostrada del algoritmo.</t>
        </is>
      </c>
      <c r="AH17" t="inlineStr">
        <is>
          <t>Alta</t>
        </is>
      </c>
      <c r="AI17" t="inlineStr">
        <is>
          <t>Multiple</t>
        </is>
      </c>
      <c r="AJ17" t="inlineStr">
        <is>
          <t>@article{Selma2022, author = {Selma, Boumediene and Chouraqui, Samira and Selma, Belkacem and Aboua{\"i}ssa, Hassane}, title = {Design an Optimal ANFIS Controller using Bee Colony Optimization for Trajectory Tracking of a Quadrotor UAV}, journal = {Journal of The Institution of Engineers (India): Series B}, year = {2022}, volume = {103}, number = {5}, pages = {1505--1519}, doi = {10.1007/s40031-022-00747-1}}</t>
        </is>
      </c>
      <c r="AK17" t="inlineStr">
        <is>
          <t>Unmanned aerial vehicle; Optimal control; Adaptive neuro-fuzzy inference system; Bee colony algorithm</t>
        </is>
      </c>
      <c r="AL17" t="inlineStr">
        <is>
          <t>Propone controlador híbrido ANFIS-BCO para tracking de trayectoria de quadrotor UAV 3DOF. BCO optimiza dinámicamente funciones de membresía del ANFIS reduciendo errores. Resultados: ANFIS-BCO supera significativamente PID (MSE=4.65×10⁻²) y ANFIS estándar (MSE=1.72×10⁻⁹) alcanzando MSE&lt;10⁻²⁹.</t>
        </is>
      </c>
      <c r="AM17" t="inlineStr">
        <is>
          <t>Fig. 1 (configuración quadrotor); Fig. 2 (arquitectura ANFIS); Fig. 3-26 (resultados simulación y errores de tracking)</t>
        </is>
      </c>
      <c r="AN17" t="inlineStr">
        <is>
          <t>El desarrollo de los UAV se ha convertido en una de las áreas de investigación más importantes en el campo del control aeronáutico autónomo.</t>
        </is>
      </c>
      <c r="AO17" t="inlineStr">
        <is>
          <t>El diseño del controlador busca los valores óptimos de los parámetros en el espacio de búsqueda que minimicen la función objetivo mediante BCO.</t>
        </is>
      </c>
      <c r="AP17" t="inlineStr">
        <is>
          <t>Los resultados demuestran que el controlador ANFIS-BCO logra un error cuadrático medio (MSE) extremadamente bajo, inferior a 10⁻²⁹  en algunas métricas.</t>
        </is>
      </c>
      <c r="AQ17" t="inlineStr">
        <is>
          <t>Se concluye que el algoritmo BCO es una técnica eficaz para la optimización y estabilización de controladores neuro-difusos.</t>
        </is>
      </c>
      <c r="AR17" t="inlineStr">
        <is>
          <t>Analizado</t>
        </is>
      </c>
      <c r="AS17" s="15" t="n">
        <v>46051</v>
      </c>
      <c r="AT17" t="inlineStr">
        <is>
          <t>Artículo metodológicamente sólido con resultados impresionantes en reducción de error; limitado a simulación 2D sin validación física; parámetros quadrotor: m=0.2kg, Ixx=0.1kg·m², g=9.81m/s²</t>
        </is>
      </c>
      <c r="AU17" t="inlineStr">
        <is>
          <t>No se mencionan pruebas en escenarios 3D completos ni la inclusión de perturbaciones externas como viento en las fuentes.</t>
        </is>
      </c>
    </row>
    <row r="18">
      <c r="A18" t="inlineStr">
        <is>
          <t>PAPER_019</t>
        </is>
      </c>
      <c r="B18" t="inlineStr">
        <is>
          <t>Convergence Analysis of Path Planning of Multi-UAVs Using Max-Min Ant Colony Optimization Approach.</t>
        </is>
      </c>
      <c r="C18" t="inlineStr">
        <is>
          <t>Muhammad Shafiq, Zain Anwar Ali, Amber Israr, Eman H. Alkhammash, Myriam Hadjouni y Jari Juhani Jussila.</t>
        </is>
      </c>
      <c r="D18" t="n">
        <v>2022</v>
      </c>
      <c r="E18" t="inlineStr">
        <is>
          <t>Sensors (MDPI)</t>
        </is>
      </c>
      <c r="F18" t="inlineStr">
        <is>
          <t>Journal</t>
        </is>
      </c>
      <c r="G18" t="inlineStr">
        <is>
          <t>No especificado</t>
        </is>
      </c>
      <c r="H18" t="inlineStr">
        <is>
          <t>https://doi.org/10.3390/s22145395</t>
        </is>
      </c>
      <c r="I18" t="inlineStr">
        <is>
          <t>https://www.mdpi.com/1424-8220/22/14/5395</t>
        </is>
      </c>
      <c r="J18" t="inlineStr">
        <is>
          <t>Otro</t>
        </is>
      </c>
      <c r="K18" t="inlineStr">
        <is>
          <t>50 referencias (citas recibidas no especificadas)</t>
        </is>
      </c>
      <c r="L18" t="inlineStr">
        <is>
          <t>ACO</t>
        </is>
      </c>
      <c r="M18" t="inlineStr">
        <is>
          <t>Evolución Diferencial (DE) y Mutación de Cauchy (CM)</t>
        </is>
      </c>
      <c r="N18" t="inlineStr">
        <is>
          <t>MMACO-DE / MMACO-CM</t>
        </is>
      </c>
      <c r="O18" t="inlineStr">
        <is>
          <t>Mapeo</t>
        </is>
      </c>
      <c r="P18" t="inlineStr">
        <is>
          <t>Rutas colectivas en entornos dinámicos con evasión de colisiones</t>
        </is>
      </c>
      <c r="Q18" t="inlineStr">
        <is>
          <t>Múltiples UAVs (2 en simulaciones)</t>
        </is>
      </c>
      <c r="R18" t="inlineStr">
        <is>
          <t>3D-Dinámico</t>
        </is>
      </c>
      <c r="S18" t="inlineStr">
        <is>
          <t>Montañas irregulares, tornados, obstáculos artificiales, amenazas naturales</t>
        </is>
      </c>
      <c r="T18" t="inlineStr">
        <is>
          <t>Tiempo de convergencia y reducción duración detección</t>
        </is>
      </c>
      <c r="U18" t="inlineStr">
        <is>
          <t>Indirecta: distancia recorrida y número de giros</t>
        </is>
      </c>
      <c r="V18" t="inlineStr">
        <is>
          <t>No es métrica principal (mencionada en trabajos relacionados)</t>
        </is>
      </c>
      <c r="W18" t="inlineStr">
        <is>
          <t>Velocidad de convergencia para evitar óptimos locales</t>
        </is>
      </c>
      <c r="X18" t="inlineStr">
        <is>
          <t>Reducción mediante subcolonias (solo "hormiga más apta" actualiza feromonas)</t>
        </is>
      </c>
      <c r="Y18" t="inlineStr">
        <is>
          <t>Solo Simulación</t>
        </is>
      </c>
      <c r="Z18" t="inlineStr">
        <is>
          <t>MATLAB 2021a (Intel i7-1165G7, 16GB RAM, Windows 11)</t>
        </is>
      </c>
      <c r="AA18" t="inlineStr">
        <is>
          <t>No</t>
        </is>
      </c>
      <c r="AB18" t="inlineStr">
        <is>
          <t>No se utiliza un dataset externo; la validación se basa en parámetros geométricos y de entorno generados en MATLAB, incluyendo coordenadas de objetivos, picos de montañas y radios de fuerzas de viento.</t>
        </is>
      </c>
      <c r="AC18" t="inlineStr">
        <is>
          <t>El enfoque MMACO-DE destaca por generar rutas más cortas y con menos giros en comparación con MMACO-CM. Además, ofrece una mayor velocidad de convergencia y estabilidad en la planificación de trayectorias dentro de entornos complejos.</t>
        </is>
      </c>
      <c r="AD18" t="inlineStr">
        <is>
          <t>Se identifica que las tecnologías actuales de inteligencia artificial aún no son plenamente capaces de ofrecer soluciones en tiempo real durante el modo operativo del dron sin depender de cálculos previos extensos o simplificaciones.</t>
        </is>
      </c>
      <c r="AE18" t="inlineStr">
        <is>
          <t>El estudio realiza una comparativa directa del rendimiento entre dos variantes híbridas: MMACO-DE frente a MMACO-CM.</t>
        </is>
      </c>
      <c r="AF18" t="inlineStr">
        <is>
          <t>La investigación aporta un análisis de convergencia comparativo de dos algoritmos híbridos bio-inspirados diseñados específicamente para resolver la planificación de rutas en entornos 3D dinámicos con presencia de obstáculos artificiales y naturales.</t>
        </is>
      </c>
      <c r="AG18" t="inlineStr">
        <is>
          <t>Se planea llevar los algoritmos del entorno de simulación a la implementación en hardware físico para validar la eficiencia de las trayectorias en condiciones reales de vuelo.</t>
        </is>
      </c>
      <c r="AH18" t="inlineStr">
        <is>
          <t>Alta</t>
        </is>
      </c>
      <c r="AI18" t="inlineStr">
        <is>
          <t>Multiple</t>
        </is>
      </c>
      <c r="AJ18" t="inlineStr">
        <is>
          <t>Las fuentes no proporcionan el formato BibTeX explícito, pero incluyen todos los metadatos necesarios (autores, título, revista, DOI) para generarlo externamente.</t>
        </is>
      </c>
      <c r="AK18" t="inlineStr">
        <is>
          <t>Path planning, Max-Min Ant Colony Optimization, differential evolution, Cauchy mutation.</t>
        </is>
      </c>
      <c r="AL18" t="inlineStr">
        <is>
          <t>El artículo investiga modelos híbridos de optimización para la planificación de rutas colectivas de UAVs ante obstáculos inesperados. Los resultados de la simulación demuestran que el método MMACO-DE supera al MMACO-CM en longitud de ruta y tiempo de convergencia.</t>
        </is>
      </c>
      <c r="AM18" t="inlineStr">
        <is>
          <t>El paper incluye la Figura 1 (nodos y ángulos de giro), la Figura 2 (comportamiento de búsqueda de las hormigas), las Figuras 3 a 6 (vistas 2D y 3D de las rutas en dos casos de estudio) y la Figura 7 (costos de estimación).</t>
        </is>
      </c>
      <c r="AN18" t="inlineStr">
        <is>
          <t>"Unmanned Aerial Vehicles (UAVs) seem to be the most efficient way of achieving the intended aerial tasks". Las fuentes también destacan que las aplicaciones de estos vehículos se expanden día a día debido a su impacto en todos los campos, pasando de tareas simples con altos costos a tareas complejas realizadas por múltiples UAVs.</t>
        </is>
      </c>
      <c r="AO18" t="inlineStr">
        <is>
          <t>"The search space is constrained with this strategy by specifying a range, which reduces the search time and allows it to converge quickly". Se menciona además que la hibridación ayuda a optimizar los logros previos y a reducir los errores del sistema.</t>
        </is>
      </c>
      <c r="AP18" t="inlineStr">
        <is>
          <t>"the path constructed by the MMACO-DE is shorter than MMACO-CM and has fewer turns". El análisis de los casos de estudio confirma que el UAV que utiliza MMACO-DE llega a su destino antes, lo que verifica una mejor tasa de convergencia.</t>
        </is>
      </c>
      <c r="AQ18" t="inlineStr">
        <is>
          <t>"MMACO-DE algorithm was better than MMACO-CM in achieving a shorter path with less path cost". El estudio concluye que los algoritmos bio-inspirados son formas famosas y efectivas de resolver problemas de planificación de rutas con enfoques simples.</t>
        </is>
      </c>
      <c r="AR18" t="inlineStr">
        <is>
          <t>Analizado</t>
        </is>
      </c>
      <c r="AS18" s="15" t="n">
        <v>46052</v>
      </c>
      <c r="AT18" t="inlineStr">
        <is>
          <t>La innovación clave del algoritmo MMACO-DE es su estructura de sub-colonias jerárquicas, donde solo la "hormiga más apta" de cada grupo actualiza la feromona, lo que ahorra tiempo de computación y acelera la detección del objetivo. Este enfoque híbrido es vital porque las tecnologías actuales aún no pueden proporcionar soluciones completas en tiempo real en modo operativo sin cálculos previos.</t>
        </is>
      </c>
      <c r="AU18" t="inlineStr">
        <is>
          <t>Se plantea que el operador de Mutación de Cauchy (CM) ayuda a evitar caer en óptimos locales mediante variaciones, pero en las simulaciones presentadas, el operador de Evolución Diferencial (DE) fue consistentemente superior en términos de distancia total y fluidez de la ruta. Queda pendiente verificar si estos resultados se mantienen en entornos físicos reales, ya que el estudio se limita a simulaciones en MATLAB.</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xl/worksheets/sheet7.xml><?xml version="1.0" encoding="utf-8"?>
<worksheet xmlns="http://schemas.openxmlformats.org/spreadsheetml/2006/main">
  <sheetPr>
    <outlinePr summaryBelow="1" summaryRight="1"/>
    <pageSetUpPr/>
  </sheetPr>
  <dimension ref="A1:B36"/>
  <sheetViews>
    <sheetView tabSelected="1" topLeftCell="A12" workbookViewId="0">
      <selection activeCell="E27" sqref="E27"/>
    </sheetView>
  </sheetViews>
  <sheetFormatPr baseColWidth="8" defaultColWidth="11.25" defaultRowHeight="15" customHeight="1"/>
  <cols>
    <col width="8.5" customWidth="1" min="1" max="26"/>
  </cols>
  <sheetData>
    <row r="1" ht="15.75" customHeight="1">
      <c r="A1" s="8" t="inlineStr">
        <is>
          <t>ESTADÍSTICAS GENERALES DEL ANÁLISIS</t>
        </is>
      </c>
    </row>
    <row r="2" ht="15.75" customHeight="1">
      <c r="A2" s="8" t="n"/>
    </row>
    <row r="3" ht="15.75" customHeight="1">
      <c r="A3" s="8" t="inlineStr">
        <is>
          <t>Total de Papers:</t>
        </is>
      </c>
      <c r="B3" s="8" t="n">
        <v>19</v>
      </c>
    </row>
    <row r="4" ht="15.75" customHeight="1">
      <c r="A4" s="8" t="inlineStr">
        <is>
          <t>Papers Analizados:</t>
        </is>
      </c>
      <c r="B4" s="8" t="n">
        <v>19</v>
      </c>
    </row>
    <row r="5" ht="15.75" customHeight="1">
      <c r="A5" s="8" t="inlineStr">
        <is>
          <t>Papers Pendientes:</t>
        </is>
      </c>
      <c r="B5" s="8" t="n">
        <v>0</v>
      </c>
    </row>
    <row r="6" ht="15.75" customHeight="1">
      <c r="A6" s="8" t="inlineStr">
        <is>
          <t>% Progreso:</t>
        </is>
      </c>
      <c r="B6" s="8" t="n">
        <v>100</v>
      </c>
    </row>
    <row r="7" ht="15.75" customHeight="1">
      <c r="A7" s="8" t="n"/>
    </row>
    <row r="8" ht="15.75" customHeight="1">
      <c r="A8" s="8" t="inlineStr">
        <is>
          <t>DISTRIBUCIÓN POR ALGORITMO</t>
        </is>
      </c>
    </row>
    <row r="9" ht="15.75" customHeight="1">
      <c r="A9" s="8" t="inlineStr">
        <is>
          <t>PSO:</t>
        </is>
      </c>
      <c r="B9" s="8" t="n">
        <v>4</v>
      </c>
    </row>
    <row r="10" ht="15.75" customHeight="1">
      <c r="A10" s="8" t="inlineStr">
        <is>
          <t>ACO:</t>
        </is>
      </c>
      <c r="B10" s="8" t="n">
        <v>2</v>
      </c>
    </row>
    <row r="11" ht="15.75" customHeight="1">
      <c r="A11" s="8" t="inlineStr">
        <is>
          <t>ABC:</t>
        </is>
      </c>
      <c r="B11" s="8" t="n">
        <v>2</v>
      </c>
    </row>
    <row r="12" ht="15.75" customHeight="1">
      <c r="A12" s="8" t="inlineStr">
        <is>
          <t>Hybrid:</t>
        </is>
      </c>
      <c r="B12" s="8" t="n">
        <v>0</v>
      </c>
    </row>
    <row r="13" ht="15.75" customHeight="1">
      <c r="A13" s="8" t="n"/>
    </row>
    <row r="14" ht="15.75" customHeight="1">
      <c r="A14" s="8" t="inlineStr">
        <is>
          <t>DISTRIBUCIÓN POR APLICACIÓN</t>
        </is>
      </c>
    </row>
    <row r="15" ht="15.75" customHeight="1">
      <c r="A15" s="8" t="inlineStr">
        <is>
          <t>Agricultura:</t>
        </is>
      </c>
      <c r="B15" s="8" t="n">
        <v>0</v>
      </c>
    </row>
    <row r="16" ht="15.75" customHeight="1">
      <c r="A16" s="8" t="inlineStr">
        <is>
          <t>Inspección Industrial:</t>
        </is>
      </c>
      <c r="B16" s="8" t="n">
        <v>0</v>
      </c>
    </row>
    <row r="17" ht="15.75" customHeight="1">
      <c r="A17" s="8" t="inlineStr">
        <is>
          <t>Vigilancia:</t>
        </is>
      </c>
      <c r="B17" s="8" t="n">
        <v>1</v>
      </c>
    </row>
    <row r="18" ht="15.75" customHeight="1">
      <c r="A18" s="8" t="n"/>
    </row>
    <row r="19" ht="15.75" customHeight="1">
      <c r="A19" s="8" t="inlineStr">
        <is>
          <t>MÉTRICAS DE CALIDAD</t>
        </is>
      </c>
    </row>
    <row r="20" ht="15.75" customHeight="1">
      <c r="A20" s="8" t="inlineStr">
        <is>
          <t>Promedio Citaciones:</t>
        </is>
      </c>
      <c r="B20" s="8">
        <f>SI(CONTARA(TODOS_PAPERS!K:K)=0;0;PROMEDIO(TODOS_PAPERS!K:K))</f>
        <v/>
      </c>
    </row>
    <row r="21" ht="15.75" customHeight="1">
      <c r="A21" s="8" t="inlineStr">
        <is>
          <t>Promedio Factor Impacto:</t>
        </is>
      </c>
      <c r="B21" s="8">
        <f>SI(CONTARA(TODOS_PAPERS!G:G)=0;0;PROMEDIO(TODOS_PAPERS!G:G))</f>
        <v/>
      </c>
    </row>
    <row r="22" ht="15.75" customHeight="1">
      <c r="A22" s="8" t="inlineStr">
        <is>
          <t>Papers con Validación Real:</t>
        </is>
      </c>
      <c r="B22" s="8">
        <f>CONTAR.SI(TODOS_PAPERS!AA:AA;"Sí*")</f>
        <v/>
      </c>
    </row>
    <row r="23" ht="15.75" customHeight="1">
      <c r="A23" s="8" t="inlineStr">
        <is>
          <t>% Validación Experimental:</t>
        </is>
      </c>
      <c r="B23" s="8">
        <f>SI(B3=0;0;B22/B3*100)</f>
        <v/>
      </c>
    </row>
    <row r="24" ht="15.75" customHeight="1">
      <c r="A24" s="8" t="n"/>
    </row>
    <row r="25" ht="15.75" customHeight="1">
      <c r="A25" s="8" t="inlineStr">
        <is>
          <t>DISTRIBUCIÓN POR RELEVANCIA</t>
        </is>
      </c>
    </row>
    <row r="26" ht="15.75" customHeight="1">
      <c r="A26" s="8" t="inlineStr">
        <is>
          <t>Alta:</t>
        </is>
      </c>
      <c r="B26" s="8" t="n">
        <v>16</v>
      </c>
    </row>
    <row r="27" ht="15.75" customHeight="1">
      <c r="A27" s="8" t="inlineStr">
        <is>
          <t>Media:</t>
        </is>
      </c>
      <c r="B27" s="8" t="n">
        <v>2</v>
      </c>
    </row>
    <row r="28" ht="15.75" customHeight="1">
      <c r="A28" s="8" t="inlineStr">
        <is>
          <t>Baja:</t>
        </is>
      </c>
      <c r="B28" s="8" t="n">
        <v>1</v>
      </c>
    </row>
    <row r="29" ht="15.75" customHeight="1">
      <c r="A29" s="8" t="n"/>
    </row>
    <row r="30" ht="15.75" customHeight="1">
      <c r="A30" s="8" t="inlineStr">
        <is>
          <t>DISTRIBUCIÓN TEMPORAL</t>
        </is>
      </c>
    </row>
    <row r="31" ht="15.75" customHeight="1">
      <c r="A31" s="8" t="inlineStr">
        <is>
          <t>2024:</t>
        </is>
      </c>
      <c r="B31" s="8" t="n">
        <v>0</v>
      </c>
    </row>
    <row r="32" ht="15.75" customHeight="1">
      <c r="A32" s="8" t="inlineStr">
        <is>
          <t>2023:</t>
        </is>
      </c>
      <c r="B32" s="8" t="n">
        <v>0</v>
      </c>
    </row>
    <row r="33" ht="15.75" customHeight="1">
      <c r="A33" s="8" t="inlineStr">
        <is>
          <t>2022:</t>
        </is>
      </c>
      <c r="B33" s="8" t="n">
        <v>9</v>
      </c>
    </row>
    <row r="34" ht="15.75" customHeight="1">
      <c r="A34" s="8" t="inlineStr">
        <is>
          <t>2021:</t>
        </is>
      </c>
      <c r="B34" s="8" t="n">
        <v>10</v>
      </c>
    </row>
    <row r="35" ht="15.75" customHeight="1">
      <c r="A35" s="8" t="inlineStr">
        <is>
          <t>2020:</t>
        </is>
      </c>
      <c r="B35" s="8" t="n">
        <v>0</v>
      </c>
    </row>
    <row r="36" ht="15.75" customHeight="1">
      <c r="A36" s="8" t="inlineStr">
        <is>
          <t>2018-2019:</t>
        </is>
      </c>
      <c r="B36" s="8"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xl/worksheets/sheet8.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ColWidth="11.25" defaultRowHeight="15" customHeight="1"/>
  <cols>
    <col width="16.125" customWidth="1" min="1" max="1"/>
    <col width="12.75" customWidth="1" min="2" max="2"/>
    <col width="20.25" customWidth="1" min="3" max="3"/>
    <col width="17.5" customWidth="1" min="4" max="4"/>
    <col width="20" customWidth="1" min="5" max="5"/>
    <col width="13.25" customWidth="1" min="6" max="6"/>
    <col width="24.75" customWidth="1" min="7" max="7"/>
    <col width="16" customWidth="1" min="8" max="8"/>
    <col width="19.875" customWidth="1" min="9" max="9"/>
    <col width="8.5" customWidth="1" min="10" max="10"/>
    <col width="22.5" customWidth="1" min="11" max="11"/>
    <col width="8.5" customWidth="1" min="12" max="26"/>
  </cols>
  <sheetData>
    <row r="1" ht="15.75" customHeight="1">
      <c r="A1" s="8" t="inlineStr">
        <is>
          <t>Tipo_Publicacion</t>
        </is>
      </c>
      <c r="B1" s="8" t="inlineStr">
        <is>
          <t>Base_Datos</t>
        </is>
      </c>
      <c r="C1" s="8" t="inlineStr">
        <is>
          <t>Algoritmo_Principal</t>
        </is>
      </c>
      <c r="D1" s="8" t="inlineStr">
        <is>
          <t>Aplicacion_Principal</t>
        </is>
      </c>
      <c r="E1" s="8" t="inlineStr">
        <is>
          <t>Tipo_Ambiente</t>
        </is>
      </c>
      <c r="F1" s="8" t="inlineStr">
        <is>
          <t>Obstaculos</t>
        </is>
      </c>
      <c r="G1" s="8" t="inlineStr">
        <is>
          <t>Validacion_Tipo</t>
        </is>
      </c>
      <c r="H1" s="8" t="inlineStr">
        <is>
          <t>Pruebas_Reales</t>
        </is>
      </c>
      <c r="I1" s="8" t="inlineStr">
        <is>
          <t>Relevancia_Nivel</t>
        </is>
      </c>
      <c r="J1" s="8" t="inlineStr">
        <is>
          <t>Seccion_Paper</t>
        </is>
      </c>
      <c r="K1" s="8" t="inlineStr">
        <is>
          <t>Estado_Lectura</t>
        </is>
      </c>
    </row>
    <row r="2" ht="15.75" customHeight="1">
      <c r="A2" s="8" t="inlineStr">
        <is>
          <t>Journal</t>
        </is>
      </c>
      <c r="B2" s="8" t="inlineStr">
        <is>
          <t>IEEE Xplore</t>
        </is>
      </c>
      <c r="C2" s="8" t="inlineStr">
        <is>
          <t>PSO</t>
        </is>
      </c>
      <c r="D2" s="8" t="inlineStr">
        <is>
          <t>Agricultura Precisión</t>
        </is>
      </c>
      <c r="E2" s="8" t="inlineStr">
        <is>
          <t>2D-Estático</t>
        </is>
      </c>
      <c r="F2" s="8" t="inlineStr">
        <is>
          <t>No</t>
        </is>
      </c>
      <c r="G2" s="8" t="inlineStr">
        <is>
          <t>Solo Simulación</t>
        </is>
      </c>
      <c r="H2" s="8" t="inlineStr">
        <is>
          <t>No</t>
        </is>
      </c>
      <c r="I2" s="8" t="inlineStr">
        <is>
          <t>Alta</t>
        </is>
      </c>
      <c r="J2" s="8" t="inlineStr">
        <is>
          <t>1-Introducción</t>
        </is>
      </c>
      <c r="K2" s="8" t="inlineStr">
        <is>
          <t>No leído</t>
        </is>
      </c>
    </row>
    <row r="3" ht="15.75" customHeight="1">
      <c r="A3" s="8" t="inlineStr">
        <is>
          <t>Conference</t>
        </is>
      </c>
      <c r="B3" s="8" t="inlineStr">
        <is>
          <t>SpringerLink</t>
        </is>
      </c>
      <c r="C3" s="8" t="inlineStr">
        <is>
          <t>ACO</t>
        </is>
      </c>
      <c r="D3" s="8" t="inlineStr">
        <is>
          <t>Inspección Industrial</t>
        </is>
      </c>
      <c r="E3" s="8" t="inlineStr">
        <is>
          <t>2D-Dinámico</t>
        </is>
      </c>
      <c r="F3" s="8" t="inlineStr">
        <is>
          <t>Sí-Estáticos</t>
        </is>
      </c>
      <c r="G3" s="8" t="inlineStr">
        <is>
          <t>Solo Experimentos</t>
        </is>
      </c>
      <c r="H3" s="8" t="inlineStr">
        <is>
          <t>Sí-Laboratorio</t>
        </is>
      </c>
      <c r="I3" s="8" t="inlineStr">
        <is>
          <t>Media</t>
        </is>
      </c>
      <c r="J3" s="8" t="inlineStr">
        <is>
          <t>2-Fundamentos</t>
        </is>
      </c>
      <c r="K3" s="8" t="inlineStr">
        <is>
          <t>Abstract leído</t>
        </is>
      </c>
    </row>
    <row r="4" ht="15.75" customHeight="1">
      <c r="A4" s="8" t="inlineStr">
        <is>
          <t>Review</t>
        </is>
      </c>
      <c r="B4" s="8" t="inlineStr">
        <is>
          <t>ScienceDirect</t>
        </is>
      </c>
      <c r="C4" s="8" t="inlineStr">
        <is>
          <t>ABC</t>
        </is>
      </c>
      <c r="D4" s="8" t="inlineStr">
        <is>
          <t>Vigilancia</t>
        </is>
      </c>
      <c r="E4" s="8" t="inlineStr">
        <is>
          <t>3D-Estático</t>
        </is>
      </c>
      <c r="F4" s="8" t="inlineStr">
        <is>
          <t>Sí-Dinámicos</t>
        </is>
      </c>
      <c r="G4" s="8" t="inlineStr">
        <is>
          <t>Simulación+Experimentos</t>
        </is>
      </c>
      <c r="H4" s="8" t="inlineStr">
        <is>
          <t>Sí-Campo</t>
        </is>
      </c>
      <c r="I4" s="8" t="inlineStr">
        <is>
          <t>Baja</t>
        </is>
      </c>
      <c r="J4" s="8" t="inlineStr">
        <is>
          <t>3-Metodología</t>
        </is>
      </c>
      <c r="K4" s="8" t="inlineStr">
        <is>
          <t>Lectura completa</t>
        </is>
      </c>
    </row>
    <row r="5" ht="15.75" customHeight="1">
      <c r="A5" s="8" t="inlineStr">
        <is>
          <t>Book Chapter</t>
        </is>
      </c>
      <c r="B5" s="8" t="inlineStr">
        <is>
          <t>ACM Digital Library</t>
        </is>
      </c>
      <c r="C5" s="8" t="inlineStr">
        <is>
          <t>GA</t>
        </is>
      </c>
      <c r="D5" s="8" t="inlineStr">
        <is>
          <t>Búsqueda-Rescate</t>
        </is>
      </c>
      <c r="E5" s="8" t="inlineStr">
        <is>
          <t>3D-Dinámico</t>
        </is>
      </c>
      <c r="F5" s="8" t="inlineStr">
        <is>
          <t>Sí-Ambos</t>
        </is>
      </c>
      <c r="G5" s="8" t="inlineStr">
        <is>
          <t>Revisión Teórica</t>
        </is>
      </c>
      <c r="H5" s="8" t="inlineStr">
        <is>
          <t>Sí-Ambos</t>
        </is>
      </c>
      <c r="I5" s="8" t="inlineStr">
        <is>
          <t>Muy Baja</t>
        </is>
      </c>
      <c r="J5" s="8" t="inlineStr">
        <is>
          <t>4.1-Algoritmos PSO</t>
        </is>
      </c>
      <c r="K5" s="8" t="inlineStr">
        <is>
          <t>Analizado</t>
        </is>
      </c>
    </row>
    <row r="6" ht="15.75" customHeight="1">
      <c r="A6" s="8" t="inlineStr">
        <is>
          <t>Preprint</t>
        </is>
      </c>
      <c r="B6" s="8" t="inlineStr">
        <is>
          <t>arXiv</t>
        </is>
      </c>
      <c r="C6" s="8" t="inlineStr">
        <is>
          <t>Firefly</t>
        </is>
      </c>
      <c r="D6" s="8" t="inlineStr">
        <is>
          <t>Mapeo</t>
        </is>
      </c>
      <c r="E6" s="8" t="inlineStr">
        <is>
          <t>4D (Tiempo-Espacio)</t>
        </is>
      </c>
      <c r="F6" s="8" t="n"/>
      <c r="G6" s="8" t="n"/>
      <c r="H6" s="8" t="n"/>
      <c r="I6" s="8" t="n"/>
      <c r="J6" s="8" t="inlineStr">
        <is>
          <t>4.2-Algoritmos ACO</t>
        </is>
      </c>
      <c r="K6" s="8" t="inlineStr">
        <is>
          <t>Descartado</t>
        </is>
      </c>
    </row>
    <row r="7" ht="15.75" customHeight="1">
      <c r="A7" s="8" t="n"/>
      <c r="B7" s="8" t="inlineStr">
        <is>
          <t>Google Scholar</t>
        </is>
      </c>
      <c r="C7" s="8" t="inlineStr">
        <is>
          <t>Bat</t>
        </is>
      </c>
      <c r="D7" s="8" t="inlineStr">
        <is>
          <t>Logística</t>
        </is>
      </c>
      <c r="E7" s="8" t="n"/>
      <c r="F7" s="8" t="n"/>
      <c r="G7" s="8" t="n"/>
      <c r="H7" s="8" t="n"/>
      <c r="I7" s="8" t="n"/>
      <c r="J7" s="8" t="inlineStr">
        <is>
          <t>4.3-Algoritmos Otros</t>
        </is>
      </c>
      <c r="K7" s="8" t="n"/>
    </row>
    <row r="8" ht="15.75" customHeight="1">
      <c r="A8" s="8" t="n"/>
      <c r="B8" s="8" t="inlineStr">
        <is>
          <t>ResearchGate</t>
        </is>
      </c>
      <c r="C8" s="8" t="inlineStr">
        <is>
          <t>Cuckoo Search</t>
        </is>
      </c>
      <c r="D8" s="8" t="inlineStr">
        <is>
          <t>Militar</t>
        </is>
      </c>
      <c r="E8" s="8" t="n"/>
      <c r="F8" s="8" t="n"/>
      <c r="G8" s="8" t="n"/>
      <c r="H8" s="8" t="n"/>
      <c r="I8" s="8" t="n"/>
      <c r="J8" s="8" t="inlineStr">
        <is>
          <t>5-Análisis Comparativo</t>
        </is>
      </c>
      <c r="K8" s="8" t="n"/>
    </row>
    <row r="9" ht="15.75" customHeight="1">
      <c r="A9" s="8" t="n"/>
      <c r="B9" s="8" t="inlineStr">
        <is>
          <t>Otro</t>
        </is>
      </c>
      <c r="C9" s="8" t="inlineStr">
        <is>
          <t>Grey Wolf</t>
        </is>
      </c>
      <c r="D9" s="8" t="inlineStr">
        <is>
          <t>Otro</t>
        </is>
      </c>
      <c r="E9" s="8" t="n"/>
      <c r="F9" s="8" t="n"/>
      <c r="G9" s="8" t="n"/>
      <c r="H9" s="8" t="n"/>
      <c r="I9" s="8" t="n"/>
      <c r="J9" s="8" t="inlineStr">
        <is>
          <t>6.1-Agricultura</t>
        </is>
      </c>
      <c r="K9" s="8" t="n"/>
    </row>
    <row r="10" ht="15.75" customHeight="1">
      <c r="A10" s="8" t="n"/>
      <c r="B10" s="8" t="n"/>
      <c r="C10" s="8" t="inlineStr">
        <is>
          <t>Whale Optimization</t>
        </is>
      </c>
      <c r="D10" s="8" t="n"/>
      <c r="E10" s="8" t="n"/>
      <c r="F10" s="8" t="n"/>
      <c r="G10" s="8" t="n"/>
      <c r="H10" s="8" t="n"/>
      <c r="I10" s="8" t="n"/>
      <c r="J10" s="8" t="inlineStr">
        <is>
          <t>6.2-Inspección</t>
        </is>
      </c>
      <c r="K10" s="8" t="n"/>
    </row>
    <row r="11" ht="15.75" customHeight="1">
      <c r="A11" s="8" t="n"/>
      <c r="B11" s="8" t="n"/>
      <c r="C11" s="8" t="inlineStr">
        <is>
          <t>Hybrid</t>
        </is>
      </c>
      <c r="D11" s="8" t="n"/>
      <c r="E11" s="8" t="n"/>
      <c r="F11" s="8" t="n"/>
      <c r="G11" s="8" t="n"/>
      <c r="H11" s="8" t="n"/>
      <c r="I11" s="8" t="n"/>
      <c r="J11" s="8" t="inlineStr">
        <is>
          <t>7-Desafíos</t>
        </is>
      </c>
      <c r="K11" s="8" t="n"/>
    </row>
    <row r="12" ht="15.75" customHeight="1">
      <c r="A12" s="8" t="n"/>
      <c r="B12" s="8" t="n"/>
      <c r="C12" s="8" t="inlineStr">
        <is>
          <t>Otro</t>
        </is>
      </c>
      <c r="D12" s="8" t="n"/>
      <c r="E12" s="8" t="n"/>
      <c r="F12" s="8" t="n"/>
      <c r="G12" s="8" t="n"/>
      <c r="H12" s="8" t="n"/>
      <c r="I12" s="8" t="n"/>
      <c r="J12" s="8" t="inlineStr">
        <is>
          <t>8-Futuro</t>
        </is>
      </c>
      <c r="K12" s="8" t="n"/>
    </row>
    <row r="13" ht="15.75" customHeight="1">
      <c r="A13" s="8" t="n"/>
      <c r="B13" s="8" t="n"/>
      <c r="C13" s="8" t="n"/>
      <c r="D13" s="8" t="n"/>
      <c r="E13" s="8" t="n"/>
      <c r="F13" s="8" t="n"/>
      <c r="G13" s="8" t="n"/>
      <c r="H13" s="8" t="n"/>
      <c r="I13" s="8" t="n"/>
      <c r="J13" s="8" t="inlineStr">
        <is>
          <t>9-Conclusión</t>
        </is>
      </c>
      <c r="K13" s="8" t="n"/>
    </row>
    <row r="14" ht="15.75" customHeight="1">
      <c r="A14" s="8" t="n"/>
      <c r="B14" s="8" t="n"/>
      <c r="C14" s="8" t="n"/>
      <c r="D14" s="8" t="n"/>
      <c r="E14" s="8" t="n"/>
      <c r="F14" s="8" t="n"/>
      <c r="G14" s="8" t="n"/>
      <c r="H14" s="8" t="n"/>
      <c r="I14" s="8" t="n"/>
      <c r="J14" s="8" t="inlineStr">
        <is>
          <t>Multiple</t>
        </is>
      </c>
      <c r="K14" s="8" t="n"/>
    </row>
    <row r="15" ht="15.75" customHeight="1">
      <c r="A15" s="8" t="n"/>
      <c r="B15" s="8" t="n"/>
      <c r="C15" s="8" t="n"/>
      <c r="D15" s="8" t="n"/>
      <c r="E15" s="8" t="n"/>
      <c r="F15" s="8" t="n"/>
      <c r="G15" s="8" t="n"/>
      <c r="H15" s="8" t="n"/>
      <c r="I15" s="8" t="n"/>
      <c r="J15" s="8" t="inlineStr">
        <is>
          <t>No citar</t>
        </is>
      </c>
      <c r="K15" s="8" t="n"/>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2025-10-01T20:26:22Z</dcterms:created>
  <dcterms:modified xsi:type="dcterms:W3CDTF">2026-03-06T05:18:46Z</dcterms:modified>
  <cp:lastModifiedBy>Andres Hidalgo</cp:lastModifiedBy>
</cp:coreProperties>
</file>