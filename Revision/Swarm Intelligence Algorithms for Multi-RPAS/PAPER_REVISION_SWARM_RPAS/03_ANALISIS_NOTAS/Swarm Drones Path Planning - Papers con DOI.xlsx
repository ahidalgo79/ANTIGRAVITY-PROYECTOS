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codeName="ThisWorkbook"/>
  <mc:AlternateContent xmlns:mc="http://schemas.openxmlformats.org/markup-compatibility/2006">
    <mc:Choice Requires="x15">
      <x15ac:absPath xmlns:x15ac="http://schemas.microsoft.com/office/spreadsheetml/2010/11/ac" url="C:\Users\HangarUPCH\Downloads\"/>
    </mc:Choice>
  </mc:AlternateContent>
  <xr:revisionPtr revIDLastSave="0" documentId="13_ncr:1_{44B1F624-6517-486D-BCA0-A3710E9F79C9}" xr6:coauthVersionLast="47" xr6:coauthVersionMax="47" xr10:uidLastSave="{00000000-0000-0000-0000-000000000000}"/>
  <bookViews>
    <workbookView xWindow="-120" yWindow="-120" windowWidth="20730" windowHeight="11160" xr2:uid="{00000000-000D-0000-FFFF-FFFF00000000}"/>
  </bookViews>
  <sheets>
    <sheet name="TODOS_PAPERS" sheetId="1" r:id="rId1"/>
    <sheet name="PSO_ALGORITMOS" sheetId="2" r:id="rId2"/>
    <sheet name="ACO_ALGORITMOS" sheetId="3" r:id="rId3"/>
    <sheet name="AGRICULTURA" sheetId="4" r:id="rId4"/>
    <sheet name="INSPECCION" sheetId="5" r:id="rId5"/>
    <sheet name="ALTA_PRIORIDAD" sheetId="6" r:id="rId6"/>
    <sheet name="ESTADISTICAS" sheetId="7" r:id="rId7"/>
    <sheet name="LISTAS_VALIDACION" sheetId="8" r:id="rId8"/>
  </sheets>
  <definedNames>
    <definedName name="_xlnm._FilterDatabase" localSheetId="0" hidden="1">TODOS_PAPERS!$A$1:$AU$2</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6" l="1"/>
  <c r="A1" i="5"/>
  <c r="A1" i="4"/>
  <c r="A1" i="3"/>
  <c r="A1" i="2"/>
</calcChain>
</file>

<file path=xl/sharedStrings.xml><?xml version="1.0" encoding="utf-8"?>
<sst xmlns="http://schemas.openxmlformats.org/spreadsheetml/2006/main" count="901" uniqueCount="595">
  <si>
    <t>ID</t>
  </si>
  <si>
    <t>Título Completo</t>
  </si>
  <si>
    <t>Autores</t>
  </si>
  <si>
    <t>Año</t>
  </si>
  <si>
    <t>Fuente</t>
  </si>
  <si>
    <t>Tipo Publicación</t>
  </si>
  <si>
    <t>Factor Impacto</t>
  </si>
  <si>
    <t>DOI</t>
  </si>
  <si>
    <t>URL</t>
  </si>
  <si>
    <t>Base de Datos</t>
  </si>
  <si>
    <t>Citaciones</t>
  </si>
  <si>
    <t>Algoritmo Principal</t>
  </si>
  <si>
    <t>Algoritmo Secundario</t>
  </si>
  <si>
    <t>Variante Específica</t>
  </si>
  <si>
    <t>Aplicación Principal</t>
  </si>
  <si>
    <t>Aplicación Específica</t>
  </si>
  <si>
    <t>Tamaño Flota</t>
  </si>
  <si>
    <t>Tipo Ambiente</t>
  </si>
  <si>
    <t>Obstáculos</t>
  </si>
  <si>
    <t>Métrica: Tiempo</t>
  </si>
  <si>
    <t>Métrica: Energía</t>
  </si>
  <si>
    <t>Métrica: Cobertura</t>
  </si>
  <si>
    <t>Métrica: Convergencia</t>
  </si>
  <si>
    <t>Complejidad Computacional</t>
  </si>
  <si>
    <t>Validación</t>
  </si>
  <si>
    <t>Entorno Simulación</t>
  </si>
  <si>
    <t>Pruebas Reales</t>
  </si>
  <si>
    <t>Tamaño Dataset</t>
  </si>
  <si>
    <t>Ventajas Identificadas</t>
  </si>
  <si>
    <t>Limitaciones</t>
  </si>
  <si>
    <t>Comparación Con</t>
  </si>
  <si>
    <t>Contribución Original</t>
  </si>
  <si>
    <t>Trabajo Futuro</t>
  </si>
  <si>
    <t>Relevancia</t>
  </si>
  <si>
    <t>Sección Paper</t>
  </si>
  <si>
    <t>Citación BibTeX</t>
  </si>
  <si>
    <t>Palabras Clave</t>
  </si>
  <si>
    <t>Abstract Resumido</t>
  </si>
  <si>
    <t>Figuras Relevantes</t>
  </si>
  <si>
    <t>Citar: Introducción</t>
  </si>
  <si>
    <t>Citar: Metodología</t>
  </si>
  <si>
    <t>Citar: Análisis</t>
  </si>
  <si>
    <t>Citar: Conclusiones</t>
  </si>
  <si>
    <t>Estado Lectura</t>
  </si>
  <si>
    <t>Fecha Análisis</t>
  </si>
  <si>
    <t>Notas Personales</t>
  </si>
  <si>
    <t>Conflictos/Dudas</t>
  </si>
  <si>
    <t>PAPER_001</t>
  </si>
  <si>
    <t>Swarm Intelligence-Based Trajectory Planning and Collision Avoidance for Flying Cars in Aerial Transportation</t>
  </si>
  <si>
    <t>Meera Srilekha B; P Santhiya; Stewart Kirubakaran S; Getzi Jeba Leelipuushpam</t>
  </si>
  <si>
    <t>2025</t>
  </si>
  <si>
    <t>2025 1st International Conference on Radio Frequency Communication and Networks (RFCoN)</t>
  </si>
  <si>
    <t>article</t>
  </si>
  <si>
    <t>10.1109/rfcon62306.2025.11085189</t>
  </si>
  <si>
    <t>https://doi.org/10.1109/rfcon62306.2025.11085189</t>
  </si>
  <si>
    <t>Crossref</t>
  </si>
  <si>
    <t>GA</t>
  </si>
  <si>
    <t>Algoritmo Genético</t>
  </si>
  <si>
    <t>Path Planning; Formation</t>
  </si>
  <si>
    <t>B2025</t>
  </si>
  <si>
    <t>Flying cars represent a potential alternative to city air transport, aiming to reduce traffic and provide more mobility. However, real-time trajectory planning and collision avoidance are problematic due to their larger size, higher speed, and more advanced maneuvering requirements. The conventional application of swarm intelligence models that were originally intended for drones overlooks these unique characteristics, leading to poor path planning and increased collision risks. The present work...</t>
  </si>
  <si>
    <t>No leído</t>
  </si>
  <si>
    <t>2025-10-08</t>
  </si>
  <si>
    <t>PAPER_002</t>
  </si>
  <si>
    <t>Optimal path planning for drones based on swarm intelligence algorithm</t>
  </si>
  <si>
    <t>Rashid A Saeed; Rashid A Saeed; Mohamed Omri; Mohamed Omri; S Abdel‐Khalek; Sayed Abdel-Khalek; Elmustafa Sayed Ali; Elmustafa Sayed Ali; Maged F Alotaibi; Maged Faihan Alotaibi</t>
  </si>
  <si>
    <t>2022</t>
  </si>
  <si>
    <t>Neural Computing and Applications</t>
  </si>
  <si>
    <t>10.1007/s00521-022-06998-9</t>
  </si>
  <si>
    <t>https://doi.org/10.1007/s00521-022-06998-9</t>
  </si>
  <si>
    <t>PSO; Ant Colony Optimization; Bee Algorithm</t>
  </si>
  <si>
    <t>Path Planning</t>
  </si>
  <si>
    <t>Saeed2022</t>
  </si>
  <si>
    <t>Recently, Drones and UAV research were becoming one of the interest topics for academia and industry, where it has been extensively addressed in the literature back the few years. Path planning of drones in an area with complex terrain or unknown environment and restricted by some obstacles is one of the most problems facing the operation of drones. The problem of path planning is not only limited to searching for an appropriate path from the starting point to the destination but also related to...</t>
  </si>
  <si>
    <t>2025-10-09</t>
  </si>
  <si>
    <t>PAPER_003</t>
  </si>
  <si>
    <t>Efficient path planning for UAV formation via comprehensively improved particle swarm optimization</t>
  </si>
  <si>
    <t>Shikai Shao; Shikai Shao; Peng Yu; Yu Peng; Chenglong He; Chenglong He; Yun Du; Yun Du</t>
  </si>
  <si>
    <t>2020</t>
  </si>
  <si>
    <t>ISA Transactions</t>
  </si>
  <si>
    <t>10.1016/j.isatra.2019.08.018</t>
  </si>
  <si>
    <t>https://pubmed.ncbi.nlm.nih.gov/31416619</t>
  </si>
  <si>
    <t>PSO; Particle Swarm Optimization</t>
  </si>
  <si>
    <t>Formation Control; Path Planning</t>
  </si>
  <si>
    <t>Shao2020</t>
  </si>
  <si>
    <t>2025-10-10</t>
  </si>
  <si>
    <t>PAPER_004</t>
  </si>
  <si>
    <t>Performance of a modified YOLOv3 object detector on remotely piloted aircraft system acquired full motion video</t>
  </si>
  <si>
    <t>Fouad Faraj; Fouad Faraj; Alexander Braun; Alexander Braun; Andrew Stewart; Andrew F Stewart; Huiwen You; Huiwen You; Anne Webster; A Bruce Webster; Andrew Macdonald; Andrew J Macdonald; Leigh Martin-Boyd; Leigh Martin-Boyd</t>
  </si>
  <si>
    <t>Journal of Applied Remote Sensing</t>
  </si>
  <si>
    <t>10.1117/1.jrs.16.022203</t>
  </si>
  <si>
    <t>https://doi.org/10.1117/1.jrs.16.022203</t>
  </si>
  <si>
    <t>Q-Learning</t>
  </si>
  <si>
    <t>Surveillance; Tracking</t>
  </si>
  <si>
    <t>Faraj2022</t>
  </si>
  <si>
    <t>Remotely piloted aircraft systems (RPAS) have introduced a new ability to quickly deploy low-cost, fully or partially autonomous aerial sensor platforms, which has created new intelligence, surveillance, and reconnaissance capabilities in various domains using cameras that are ubiquitous in most RPAS. The mounted cameras acquire images or full-motion video (FMV) which can be analyzed using object detection algorithms for locating and classifying one or more specified targets. To date, there has ...</t>
  </si>
  <si>
    <t>2025-10-11</t>
  </si>
  <si>
    <t>PAPER_005</t>
  </si>
  <si>
    <t>Hybrid Intelligence Systems Combining Human Expertise and AI/RPA for Complex Problem Solving</t>
  </si>
  <si>
    <t>Kamala Venigandla; Navya Vemuri; Naveen Vemuri</t>
  </si>
  <si>
    <t>2024</t>
  </si>
  <si>
    <t>International Journal of Innovative Science and Research Technology (IJISRT)</t>
  </si>
  <si>
    <t>10.38124/ijisrt/ijisrt24mar2039</t>
  </si>
  <si>
    <t>https://doi.org/10.38124/ijisrt/ijisrt24mar2039</t>
  </si>
  <si>
    <t>Tracking</t>
  </si>
  <si>
    <t>Venigandla2024</t>
  </si>
  <si>
    <t>Hybrid Intelligence Systems (HIS) represent a paradigm shift in problem-solving methodologies by integrating human expertise with Artificial Intelligence (AI) and Robotic Process Automation (RPA). This paper explores the mechanisms, applications, benefits, challenges, and future directions of HIS in the context of complex problem-solving. Through collaborative synergies between human cognition and machine intelligence, HIS enhances decision-making accuracy, efficiency, and innovation. Human expe...</t>
  </si>
  <si>
    <t>2025-10-12</t>
  </si>
  <si>
    <t>PAPER_006</t>
  </si>
  <si>
    <t>Relationship Between Spiritual Well-being and Post-traumatic Stress Disorder Symptoms in United States Air Force Remotely Piloted Aircraft and Intelligence Personnel</t>
  </si>
  <si>
    <t>Joe Wood; Joe Wood; Joe Wood; Catherine M Ware; Catherine M Ware; Terry Correll; Terry Correll; John E Heaton; John E Heaton; T McBride; Teg W McBride; Jared T Haynes; Jared T Haynes</t>
  </si>
  <si>
    <t>2018</t>
  </si>
  <si>
    <t>Military Medicine</t>
  </si>
  <si>
    <t>10.1093/milmed/usx032</t>
  </si>
  <si>
    <t>https://pubmed.ncbi.nlm.nih.gov/31505653</t>
  </si>
  <si>
    <t>Wood2018</t>
  </si>
  <si>
    <t>BACKGROUND: Remotely piloted aircraft (RPA) are in frequent use by the U.S. Air Force to engage in combat operations from remote locations. RPA operations involve remote killing, which can lead to significant emotional responses. This study addresses a gap in research by examining the association of existential and spiritual health with post-traumatic stress disorder (PTSD) symptoms in RPA and intelligence personnel. METHODS: Three hundred and five U.S. Air Force RPA and intelligence personnel c...</t>
  </si>
  <si>
    <t>2025-10-13</t>
  </si>
  <si>
    <t>PAPER_007</t>
  </si>
  <si>
    <t>Control Technology for Remotely Piloted Air Systems (RPAS)</t>
  </si>
  <si>
    <t>Dmitry Senchuk; Dmitry Senchuk; Roman Meshcheryakov; Roman Meshcheryakov; Roman Meshcheryakov</t>
  </si>
  <si>
    <t>2019</t>
  </si>
  <si>
    <t>2019 12th International Conference on Developments in eSystems Engineering (DeSE)</t>
  </si>
  <si>
    <t>10.1109/dese.2019.00092</t>
  </si>
  <si>
    <t>https://doi.org/10.1109/dese.2019.00092</t>
  </si>
  <si>
    <t>ACO</t>
  </si>
  <si>
    <t>Formation; Disaster Response</t>
  </si>
  <si>
    <t>Senchuk2019</t>
  </si>
  <si>
    <t>Remotely piloted aircraft systems (RPAS) are capable to solve a wide range of application tasks, including ones with high requirements to the time limit of performance. These requirements are mitigated in case of simultaneous use of multiple vehicles of different type. It is expedient to develop and implement technologies that ensure automatic tasks fulfilment in order to improve efficiency of their use. This article describes typical missions for UAVs used in the Ministry of Emergency Situation...</t>
  </si>
  <si>
    <t>2025-10-14</t>
  </si>
  <si>
    <t>PAPER_008</t>
  </si>
  <si>
    <t>A survey on population-based meta-heuristic algorithms for motion planning of aircraft</t>
  </si>
  <si>
    <t>Yu Cheng Wu; Yu Wu</t>
  </si>
  <si>
    <t>2021</t>
  </si>
  <si>
    <t>Swarm and Evolutionary Computation</t>
  </si>
  <si>
    <t>10.1016/j.swevo.2021.100844</t>
  </si>
  <si>
    <t>https://doi.org/10.1016/j.swevo.2021.100844</t>
  </si>
  <si>
    <t>Wu2021</t>
  </si>
  <si>
    <t>2025-10-15</t>
  </si>
  <si>
    <t>PAPER_009</t>
  </si>
  <si>
    <t>Path planning techniques for unmanned aerial vehicles: A review, solutions, and challenges</t>
  </si>
  <si>
    <t>Shubhani Aggarwal; Shubhani Aggarwal; Neeraj Kumar; Neeraj Kumar</t>
  </si>
  <si>
    <t>Computer Communications</t>
  </si>
  <si>
    <t>10.1016/j.comcom.2019.10.014</t>
  </si>
  <si>
    <t>https://doi.org/10.1016/j.comcom.2019.10.014</t>
  </si>
  <si>
    <t>Path Planning; Tracking</t>
  </si>
  <si>
    <t>Aggarwal2020</t>
  </si>
  <si>
    <t>2025-10-16</t>
  </si>
  <si>
    <t>PAPER_010</t>
  </si>
  <si>
    <t>Remotely Piloted Aircraft C2 Latency during Air- to-Air Combat</t>
  </si>
  <si>
    <t>D A L T HirTyacre</t>
  </si>
  <si>
    <t>https://www.semanticscholar.org/paper/163f035d4506b674099ea74a12dbfe7002409b81</t>
  </si>
  <si>
    <t>Mendeley</t>
  </si>
  <si>
    <t>HirTyacre2022</t>
  </si>
  <si>
    <t>2025-10-17</t>
  </si>
  <si>
    <t>PAPER_011</t>
  </si>
  <si>
    <t>THE BEHAVIOR-BASED APPROACH FOR REMOTELY PILOTED AIRCRAFT SWARM CONTROL IN DYNAMIC ENVIRONMENT</t>
  </si>
  <si>
    <t>Ihor Skyrda; I І Skyrda</t>
  </si>
  <si>
    <t>Scientific notes of Taurida National V.I. Vernadsky University. Series: Technical Sciences</t>
  </si>
  <si>
    <t>10.32838/2663-5941/2019.3-1/05</t>
  </si>
  <si>
    <t>https://doi.org/10.32838/2663-5941/2019.3-1/05</t>
  </si>
  <si>
    <t>Formation</t>
  </si>
  <si>
    <t>Skyrda2019</t>
  </si>
  <si>
    <t>2025-10-18</t>
  </si>
  <si>
    <t>PAPER_012</t>
  </si>
  <si>
    <t>UAV Path Planning Model Leveraging Machine Learning and Swarm Intelligence for Smart Agriculture</t>
  </si>
  <si>
    <t>Roberto E Roque-Claros; Deivi P Flores-Llanos; Abel R Maquera-Humpiri; Vijaya Krishna Sonthi; Sudhakar Sengan; R Rangasamy</t>
  </si>
  <si>
    <t>Scalable Computing: Practice and Experience</t>
  </si>
  <si>
    <t>10.12694/scpe.v25i5.3131</t>
  </si>
  <si>
    <t>https://doi.org/10.12694/scpe.v25i5.3131</t>
  </si>
  <si>
    <t>ACO; Genetic Algorithm</t>
  </si>
  <si>
    <t>Task Allocation; Path Planning; Agriculture</t>
  </si>
  <si>
    <t>Roque-Claros2024</t>
  </si>
  <si>
    <t>Smart agriculture, through precision farming, is revolutionizing traditional farming methods by optimizing resource use and enhancing yields. With the integration of technology, especially the advent of Unmanned Aerial Vehicles (UAVs) or drones, modern agriculture has attained new heights in efficient crop management, real-time data collection, and sustainable practices. UAVs play a pivotal role, offering aerial insights into crop health, soil conditions, and targeted resource application, promo...</t>
  </si>
  <si>
    <t>2025-10-19</t>
  </si>
  <si>
    <t>PAPER_013</t>
  </si>
  <si>
    <t>Deep Learning Approaches for IoV Applications and Services</t>
  </si>
  <si>
    <t>Lina Elmoiz Alatabani; Lina Elmoiz Alatabani; Elmustafa Sayed Ali; Elmustafa Sayed Ali; Elmustafa Sayed Ali; Rashid A Saeed; Rashid A Saeed; Rashid A Saeed</t>
  </si>
  <si>
    <t>Internet of Things</t>
  </si>
  <si>
    <t>10.1007/978-3-030-76493-7_8</t>
  </si>
  <si>
    <t>https://doi.org/10.1007/978-3-030-76493-7_8</t>
  </si>
  <si>
    <t>Alatabani2021</t>
  </si>
  <si>
    <t>Internet of vehicles (IoV) has become an important revolution of intelligent transportation system (ITS). It became an emerging research area as the need for it has increased tremendously. With a great number of applications available, in addition to the intention to improve the quality of life and quality of services, the application of artificial intelligence (AI) techniques would dramatically enhance the performance of the IoV overall system. This chapter will discuss deep learning networks a...</t>
  </si>
  <si>
    <t>2025-10-20</t>
  </si>
  <si>
    <t>PAPER_014</t>
  </si>
  <si>
    <t>Green Machine Learning for Green Cloud Energy Efficiency</t>
  </si>
  <si>
    <t>Mona Bakri Hassan; Mona Bakri Hassan; Rashid A Saeed; Rashid A Saeed; Rashid A Saeed; Othman Khalifa; Othman Omran Khalifa; Elmustafa Sayed Ali; Elmustafa Sayed Ali; Rania A Mokhtar; Rania A Mokhtar; Aisha A Hashim; Aisha Hassan Abdalla Hashim</t>
  </si>
  <si>
    <t>2022 IEEE 2nd International Maghreb Meeting of the Conference on Sciences and Techniques of Automatic Control and Computer Engineering (MI-STA)</t>
  </si>
  <si>
    <t>10.1109/mi-sta54861.2022.9837531</t>
  </si>
  <si>
    <t>https://doi.org/10.1109/mi-sta54861.2022.9837531</t>
  </si>
  <si>
    <t>Hassan2022</t>
  </si>
  <si>
    <t>The efficiency of energy in cloud computing (CC) is one of the critical and vital parameters for large server-based networks due to CC consuming a great amount of energy and the dramatic energy consumption growth in the area of digital services. Focus on cloud computing energy consumption and efficiency is one of the key issues in a modern data center structure for operation costs reduction and fulfilling the green computing goals. Machine learning plays an important role to optimize the operati...</t>
  </si>
  <si>
    <t>2025-10-21</t>
  </si>
  <si>
    <t>PAPER_015</t>
  </si>
  <si>
    <t>Assessing Person-Job Fit for Careers as Remotely Piloted Aircraft Sensor Operators</t>
  </si>
  <si>
    <t>Thomas R Carretta; Thomas R Carretta; Sophie Romay; Sophie Romay; Amanda Mouton; Amanda Mouton; Andrew Deregla; Andrew Deregla; Angela Clark; Angela Clark; Laura G Barron; Laura G Barron</t>
  </si>
  <si>
    <t>The International Journal of Aerospace Psychology</t>
  </si>
  <si>
    <t>10.1080/24721840.2020.1813034</t>
  </si>
  <si>
    <t>https://doi.org/10.1080/24721840.2020.1813034</t>
  </si>
  <si>
    <t>Carretta2020</t>
  </si>
  <si>
    <t>Recent US Air Force occupational surveys indicated that while job satisfaction is high for Remotely Piloted Aircraft (RPA) Sensor Operators (SO), a high percentage do want to reenlist. The objectiv...</t>
  </si>
  <si>
    <t>2025-10-22</t>
  </si>
  <si>
    <t>PAPER_016</t>
  </si>
  <si>
    <t>Internet of vehicle's resource management in 5G networks using AI technologies: Current status and trends</t>
  </si>
  <si>
    <t>Nada M Elfatih; Nada M Elfatih; Mohammad Kamarul Hasan; Mohammad Kamrul Hasan; Mohammad Kamrul Hasan; Zeinab Kamal; Zeinab Kamal; Deepa Gupta; Deepa Gupta; Rashid A Saeed; Rashid A Saeed; Rashid A Saeed; Elmustafa Sayed Ali; Elmustafa Sayed Ali; Md. Sarwar Hosain; Md. Sarwar Hosain</t>
  </si>
  <si>
    <t>IET Communications</t>
  </si>
  <si>
    <t>10.1049/cmu2.12315</t>
  </si>
  <si>
    <t>https://doi.org/10.1049/cmu2.12315</t>
  </si>
  <si>
    <t>Elfatih2021</t>
  </si>
  <si>
    <t>AbstractThe Internet of Vehicles (IoV) and Vehicle‐to‐Everything (V2X) concept have emerged from IoT technology, which refers to connecting many vehicles with various applications to the internet. The 5G new radio is based on a cloud‐radio access network (CRAN), considered as the communication infrastructure for IoV. However, due to the significant challenges and issues, researchers have been working on IoV and V2X. One of the main challenges for V2X is resource allocation and management for a h...</t>
  </si>
  <si>
    <t>2025-10-23</t>
  </si>
  <si>
    <t>PAPER_017</t>
  </si>
  <si>
    <t>Multidimensional Aptitude Battery-Second Edition Intelligence Testing of Remotely Piloted Aircraft Training Candidates Compared with Manned Airframe Training Candidates</t>
  </si>
  <si>
    <t>Julie Swearingen; Julie Swearingen; Wayne Chappelle; Wayne Chappelle; Tanya Goodman; Tanya Goodman; W T Thompson; William Thompson</t>
  </si>
  <si>
    <t>2015</t>
  </si>
  <si>
    <t>10.21236/ada623714</t>
  </si>
  <si>
    <t>https://doi.org/10.21236/ada623714</t>
  </si>
  <si>
    <t>Consensus</t>
  </si>
  <si>
    <t>SAR</t>
  </si>
  <si>
    <t>Swearingen2015</t>
  </si>
  <si>
    <t>Abstract : The advancement of aviation drone technology has led to significant developments and improvements in the capabilities of military remotely piloted aircraft (RPAs, also known as drones). The prolific demand for RPA missions has led to an ever-increasing need for RPA pilots and to the development of a U.S. Air Force (USAF) RPA pilot career field. To date, there are limited objective data published on personnel who desire and self-select to USAF weapons bearing RPA pilots. This study eva...</t>
  </si>
  <si>
    <t>2025-10-24</t>
  </si>
  <si>
    <t>PAPER_018</t>
  </si>
  <si>
    <t>Cooperative Path Planning for Heterogeneous UAV Swarms: A Stackelberg Game Approach</t>
  </si>
  <si>
    <t>Zhe Zhang; Ju Jiang; Keck Voon Ling; Xinhua Wang; Wen-an Zhang</t>
  </si>
  <si>
    <t>IEEE Transactions on Automation Science and Engineering</t>
  </si>
  <si>
    <t>10.1109/tase.2025.3585946</t>
  </si>
  <si>
    <t>https://doi.org/10.1109/tase.2025.3585946</t>
  </si>
  <si>
    <t>PSO</t>
  </si>
  <si>
    <t>Zhang2025</t>
  </si>
  <si>
    <t>The coordinated operations of Stealth Unmanned Aerial Vehicle (SUAV) and Swarming Drones (SD) have demonstrated formidable power in the military domain. Efficient path planning is a critical technology that enhances combat effectiveness. This paper proposes a game-theoretic optimization approach to achieve cooperative penetration and target search path planning for swarm UAVs. Multi-task and multi-objective optimization models are developed for complex scenarios whose optimal solutions are NP-ha...</t>
  </si>
  <si>
    <t>2025-10-25</t>
  </si>
  <si>
    <t>PAPER_019</t>
  </si>
  <si>
    <t>An IoT-Platform-Based Deep Learning System for Human Behavior Recognition in Smart City Monitoring Using the Berkeley MHAD Datasets</t>
  </si>
  <si>
    <t>Othman Omran Khalifa; Othman O Khalifa; Adil Roubleh; Adil Roubleh; Abdelrahim Esgiar; Abdelrahim Esgiar; Maha Abdelhaq; Maha Abdelhaq; Raed Alsaqour; Raed Alsaqour; Aisha Abdalla; Aisha Abdalla; Elmustafa Sayed Ali; Elmustafa Sayed Ali; Rashid A Saeed; Rashid A Saeed</t>
  </si>
  <si>
    <t>Systems</t>
  </si>
  <si>
    <t>10.3390/systems10050177</t>
  </si>
  <si>
    <t>https://doi.org/10.3390/systems10050177</t>
  </si>
  <si>
    <t>Khalifa2022</t>
  </si>
  <si>
    <t>Internet of Things (IoT) technology has been rapidly developing and has been well utilized in the field of smart city monitoring. The IoT offers new opportunities for cities to use data remotely for the monitoring, smart management, and control of device mechanisms that enable the processing of large volumes of data in real time. The IoT supports the connection of instruments with intelligible features in smart cities. However, there are some challenges due to the ongoing development of these ap...</t>
  </si>
  <si>
    <t>2025-10-26</t>
  </si>
  <si>
    <t>PAPER_020</t>
  </si>
  <si>
    <t>A Drones Optimal Path Planning Based on Swarm Intelligence Algorithms</t>
  </si>
  <si>
    <t>Mahmoud Ragab; Mahmoud Ragab; Ali Altalbe; Ali Altalbe; Abdullah Saad Al-Malaise ALGhamdi; Abdullah AL-Malaise AL-Ghamdi; S Abdel-khalek; S Abdel‐Khalek; Rashid A Saeed; Rashid A Saeed</t>
  </si>
  <si>
    <t>Computers, Materials &amp;amp; Continua</t>
  </si>
  <si>
    <t>10.32604/cmc.2022.024932</t>
  </si>
  <si>
    <t>https://doi.org/10.32604/cmc.2022.024932</t>
  </si>
  <si>
    <t>Surveillance; Path Planning; Agriculture</t>
  </si>
  <si>
    <t>Delivery</t>
  </si>
  <si>
    <t>Ragab2022</t>
  </si>
  <si>
    <t>The smart city comprises various interlinked elements which communicate data and offers urban life to citizen. Unmanned Aerial Vehicles (UAV) or drones were commonly employed in different application areas like agriculture, logistics, and surveillance. For improving the drone flying safety and quality of services, a significant solution is for designing the Internet of Drones (IoD) where the drones are utilized to gather data and people communicate to the drones of a specific flying region using...</t>
  </si>
  <si>
    <t>2025-10-27</t>
  </si>
  <si>
    <t>PAPER_021</t>
  </si>
  <si>
    <t>Utilizing high-performance embedded computing, agile condor, for intelligent processing: An artificial intelligence platform for remotely piloted aircraft</t>
  </si>
  <si>
    <t>Darrek Isereau; Darrek Isereau; C T Capraro; Christopher Capraro; \'Eric C\^ot\'e; Eric Cote; Mark Barnell; Mark Barnell; Courtney Raymond; Courtney Raymond</t>
  </si>
  <si>
    <t>2017</t>
  </si>
  <si>
    <t>2017 Intelligent Systems Conference (IntelliSys)</t>
  </si>
  <si>
    <t>10.1109/intellisys.2017.8324277</t>
  </si>
  <si>
    <t>https://doi.org/10.1109/intellisys.2017.8324277</t>
  </si>
  <si>
    <t>Formation Control; Tracking</t>
  </si>
  <si>
    <t>Isereau2017</t>
  </si>
  <si>
    <t>A newly invented, high performance, pod-based computer architecture, called Agile Condor (patent pending), has been designed and developed. Agile Condor is supporting autonomous operations by providing a platform for the innovative use of artificial intelligence, machine learning, and decision making algorithms upstream, near the information source, where the data is collected. In September 2016, experimental tests successfully demonstrated the ability to implement advanced neural networks and d...</t>
  </si>
  <si>
    <t>2025-10-28</t>
  </si>
  <si>
    <t>PAPER_022</t>
  </si>
  <si>
    <t>Vehicle Detection for Vision-Based Intelligent Transportation Systems Using Convolutional Neural Network Algorithm</t>
  </si>
  <si>
    <t>Othman Omran Khalifa; Othman O Khalifa; Muhammad H Wajdi; Muhammad H Wajdi; Rashid A Saeed; Rashid A Saeed; Rashid A Saeed; Aisha Hassan Abdalla Hashim; Aisha Hassan Abdalla Hashim; Muhammed Z Ahmed; Muhammed Zaharadeen Ahmed; Elmustafa Sayed Ali; Elmustafa Sayed Ali</t>
  </si>
  <si>
    <t>Journal of Advanced Transportation</t>
  </si>
  <si>
    <t>10.1155/2022/9189600</t>
  </si>
  <si>
    <t>https://doi.org/10.1155/2022/9189600</t>
  </si>
  <si>
    <t>Task Allocation; Surveillance; Formation Control</t>
  </si>
  <si>
    <t>Khalifa2022a</t>
  </si>
  <si>
    <t>Vehicle detection in Intelligent Transportation Systems (ITS) is a key factor ensuring road safety, as it is necessary for the monitoring of vehicle flow, illegal vehicle type detection, incident detection, and vehicle speed estimation. Despite the growing popularity in research, it remains a challenging problem that must be solved. Hardware-based solutions such as radars and LIDAR are been proposed but are too expensive to be maintained and produce little valuable information to human operators...</t>
  </si>
  <si>
    <t>2025-10-29</t>
  </si>
  <si>
    <t>PAPER_023</t>
  </si>
  <si>
    <t>A Survey on the Convergence of Edge Computing and AI for UAVs: Opportunities and Challenges</t>
  </si>
  <si>
    <t>Patrick McEnroe; Patrick McEnroe; Shen Wang; Shen Wang; Madhusanka Liyanage; Madhusanka Liyanage</t>
  </si>
  <si>
    <t>IEEE Internet of Things Journal</t>
  </si>
  <si>
    <t>10.1109/jiot.2022.3176400</t>
  </si>
  <si>
    <t>https://doi.org/10.1109/jiot.2022.3176400</t>
  </si>
  <si>
    <t>Delivery; Formation Control; Inspection</t>
  </si>
  <si>
    <t>Agriculture; Path Planning; Search and Rescue</t>
  </si>
  <si>
    <t>McEnroe2022</t>
  </si>
  <si>
    <t>The latest 5G mobile networks have enabled many exciting Internet of Things (IoT) applications that employ unmanned aerial vehicles (UAVs/drones). The success of most UAV-based IoT applications is heavily dependent on artificial intelligence (AI) technologies, for instance, computer vision and path planning. These AI methods must process data and provide decisions while ensuring low latency and low energy consumption. However, the existing cloud-based AI paradigm finds it difficult to meet these...</t>
  </si>
  <si>
    <t>2025-10-30</t>
  </si>
  <si>
    <t>PAPER_024</t>
  </si>
  <si>
    <t>Self-Supervised Learning Graphical Neural Network Driven Prediction Model for Path-Planning and Navigation in Smart Sustainable Agriculture</t>
  </si>
  <si>
    <t>R Nivetha; K C Sriharipriya; B Balusamy</t>
  </si>
  <si>
    <t>IEEE Access</t>
  </si>
  <si>
    <t>10.1109/access.2025.3602476</t>
  </si>
  <si>
    <t>https://doi.org/10.1109/access.2025.3602476</t>
  </si>
  <si>
    <t>Path Planning; Formation; Agriculture</t>
  </si>
  <si>
    <t>Nivetha2025</t>
  </si>
  <si>
    <t>Recently, autonomous systems in agriculture have garnered increased attention among research communities and industries due to their greater significance. With rapid technological advances, numerous autonomous systems have been actively deployed in agriculture to accomplish complex tasks, such as surveying agricultural fields, managing the water cycle, resolving soil compaction issues, etc. Swarm robotics, path planning, and task assignment systems play a crucial role in agricultural automation ...</t>
  </si>
  <si>
    <t>2025-10-31</t>
  </si>
  <si>
    <t>PAPER_025</t>
  </si>
  <si>
    <t>AGRICULTURAL UAV CROP SPRAYING PATH PLANNING BASED ON PSO-A* ALGORITHM</t>
  </si>
  <si>
    <t>Lijuan Fan</t>
  </si>
  <si>
    <t>2023</t>
  </si>
  <si>
    <t>INMATEH Agricultural Engineering</t>
  </si>
  <si>
    <t>10.35633/inmateh-71-54</t>
  </si>
  <si>
    <t>https://doi.org/10.35633/inmateh-71-54</t>
  </si>
  <si>
    <t>ACO; Particle Swarm Optimization</t>
  </si>
  <si>
    <t>Fan2023</t>
  </si>
  <si>
    <t>Currently, drones have been gradually applied in the field of agriculture, and have been widely used in various types of agricultural aerial operations such as precision sowing, pesticide spraying, and vegetation detection. The use of agricultural UAVs for pesticide spraying has become an important task in the agricultural plant protection process. However, in the crop spraying process of agricultural UAVs, it is necessary to traverse multiple spray points and plan obstacle avoidance paths, whic...</t>
  </si>
  <si>
    <t>2025-10-32</t>
  </si>
  <si>
    <t>PAPER_026</t>
  </si>
  <si>
    <t>Optimization of Crop Yield in Precision Agriculture Using WSNs, Remote Sensing, and Atmospheric Simulation Models for Real-Time Environmental Monitoring</t>
  </si>
  <si>
    <t>V Barrile; Clemente Maesano; E Genovese</t>
  </si>
  <si>
    <t>Journal of Sensor and Actuator Networks</t>
  </si>
  <si>
    <t>10.3390/jsan14010014</t>
  </si>
  <si>
    <t>https://doi.org/10.3390/jsan14010014</t>
  </si>
  <si>
    <t>Coverage; Environmental Monitoring; Formation Control</t>
  </si>
  <si>
    <t>Agriculture; Surveillance</t>
  </si>
  <si>
    <t>Barrile2025</t>
  </si>
  <si>
    <t>Due to the increasing demand for agricultural production and the depletion of natural resources, the rational and efficient use of resources in agriculture becomes essential. Thus, Agriculture 4.0 or precision agriculture (PA) was born, which leverages advanced technologies such as Geographic Information Systems (GIS), Artificial Intelligence (AI), sensors and remote sensing techniques to optimize agricultural practices. This study focuses on an innovative approach integrating data from differen...</t>
  </si>
  <si>
    <t>2025-10-33</t>
  </si>
  <si>
    <t>PAPER_027</t>
  </si>
  <si>
    <t>Intelligent Scheduling Technology of Swarm Intelligence Algorithm for Drone Path Planning</t>
  </si>
  <si>
    <t>Zhipeng Meng; Dongze Li; Yong Zhang; Haoquan Yan</t>
  </si>
  <si>
    <t>Drones</t>
  </si>
  <si>
    <t>10.3390/drones8040120</t>
  </si>
  <si>
    <t>https://doi.org/10.3390/drones8040120</t>
  </si>
  <si>
    <t>PSO; Q-Learning</t>
  </si>
  <si>
    <t>Meng2024</t>
  </si>
  <si>
    <t>Different kinds of swarm intelligence algorithm obtain superior performances in solving complex optimization problems and have been widely used in path planning of drones. Due to their own characteristics, the optimization results may vary greatly in different dynamic environments. In this paper, a scheduling technology for swarm intelligence algorithms based on deep Q-learning is proposed to intelligently select algorithms to realize 3D path planning. It builds a unique path point database and ...</t>
  </si>
  <si>
    <t>2025-10-34</t>
  </si>
  <si>
    <t>PAPER_028</t>
  </si>
  <si>
    <t>Enhancing Precision Agriculture Through PSO-Enabled Drones: Targeted Pest Control in Indonesian Rice Cultivation</t>
  </si>
  <si>
    <t>Anhar Risnumawan; Achmad Maliki; I A Sulistijono; Farida Gamar</t>
  </si>
  <si>
    <t>2023 8th International Conference on Electrical, Electronics and Information Engineering (ICEEIE)</t>
  </si>
  <si>
    <t>10.1109/iceeie59078.2023.10334868</t>
  </si>
  <si>
    <t>https://doi.org/10.1109/iceeie59078.2023.10334868</t>
  </si>
  <si>
    <t>PSO; Particle Swarm Optimization; Flocking</t>
  </si>
  <si>
    <t>Path Planning; Agriculture</t>
  </si>
  <si>
    <t>Risnumawan2023</t>
  </si>
  <si>
    <t>This study presents an application of aerial vehicles (UAVs), commonly known as drones, integrated with computer vision technology to detect and treat pests in precision agriculture. The focus is on rice cultivation in Indonesia, where pest infestations have contributed to a decline in the area. To address this issue, the paper proposes an approach that combines the Particle Swarm Optimization (PSO) model with Visible Atmospherically Resistant Index (VARI) imaging. This combination allows for ta...</t>
  </si>
  <si>
    <t>2025-10-35</t>
  </si>
  <si>
    <t>PAPER_029</t>
  </si>
  <si>
    <t>Posttraumatic stress syndrome in remotely piloted aircraft (RPA) pilots and the intelligence, surveillance and reconnaissance (ISR) community: Policy analysis and recommendations for action</t>
  </si>
  <si>
    <t>Stefanie Melissa Watkins-Nance; Stefanie Melissa Watkins-Nance</t>
  </si>
  <si>
    <t>https://www.semanticscholar.org/paper/ae0afd8fc7c7c32bb792d7215ea184978cb176fb</t>
  </si>
  <si>
    <t>Watkins-Nance2015</t>
  </si>
  <si>
    <t>2025-10-36</t>
  </si>
  <si>
    <t>PAPER_030</t>
  </si>
  <si>
    <t>Enhanced multi agent coordination algorithm for drone swarm patrolling in durian orchards</t>
  </si>
  <si>
    <t>Ruipeng Tang; Jianrui Tang; M S A Talip; Narendra Kumar Aridas; Xifeng Xu</t>
  </si>
  <si>
    <t>Scientific Reports</t>
  </si>
  <si>
    <t>10.1038/s41598-025-88145-7</t>
  </si>
  <si>
    <t>https://pubmed.ncbi.nlm.nih.gov/40097450</t>
  </si>
  <si>
    <t>Formation Control; Path Planning; Formation</t>
  </si>
  <si>
    <t>Environmental Monitoring</t>
  </si>
  <si>
    <t>Tang2025</t>
  </si>
  <si>
    <t>This study proposes an enhanced multi-agent swarm control algorithm (EN-MASCA) to solve the problem of efficient patrolling of drone swarms in complex durian orchard environments. It introduces a virtual navigator model to dynamically adjust the patrol path of the drone swarm and perform obstacle avoidance and path optimization in real time according to environmental changes. Different from traditional algorithms that only rely on fixed path planning, the virtual navigator model significantly im...</t>
  </si>
  <si>
    <t>2025-10-37</t>
  </si>
  <si>
    <t>PAPER_031</t>
  </si>
  <si>
    <t>Reassessment of Occupational Health Among U.S. Air Force Remotely Piloted Aircraft (Drone) Operators</t>
  </si>
  <si>
    <t>Wayne Chappelle; Wayne Chappelle; Julie Swearingen; Julie Swearingen; Tanya Goodman; Tanya Goodman; Lillian Prince; Lillian Prince; W T Thompson; William Thompson</t>
  </si>
  <si>
    <t>https://www.semanticscholar.org/paper/6e6a11b7ad6cb8728ac13b349c78955f2473307f</t>
  </si>
  <si>
    <t>Surveillance; SAR</t>
  </si>
  <si>
    <t>Chappelle2017</t>
  </si>
  <si>
    <t>Abstract : MQ-1 Predator and MQ-9 Reaper remotely piloted aircraft (RPA; drones) operators participate in a diverse range of intelligence, surveillance, and reconnaissance missions, as well as weapon strike missions for close air support to ground troops and aerial sniper missions of enemy combatants. Such operators are required to sustain around-the-clock operations to meet the demand from military leadership requesting weaponized RPAs to support a wide range of global missions. As a result, th...</t>
  </si>
  <si>
    <t>2025-10-38</t>
  </si>
  <si>
    <t>PAPER_032</t>
  </si>
  <si>
    <t>Machine Learning Technologies for Secure Vehicular Communication in Internet of Vehicles: Recent Advances and Applications</t>
  </si>
  <si>
    <t>Elmustafa Sayed Ali; Elmustafa Sayed Ali; Mohammad Kamrul Hasan; Mohammad Kamrul Hasan; Rosilah Hassan; Rosilah Hassan; Rosilah Hassan; Rosilah Hassan; Rashid A Saeed; Rashid A Saeed; Rashid A Saeed; Mona Bakri Hassan; Mona Bakri Hassan; Shayla Islam; Shayla Islam; Shayla Islam; Shayla Islam; Nazmus Shaker Nafi; Nazmus S Nafi; Savitri Bevinakoppa; Savitri Bevinakoppa</t>
  </si>
  <si>
    <t>Security and Communication Networks</t>
  </si>
  <si>
    <t>10.1155/2021/8868355</t>
  </si>
  <si>
    <t>https://doi.org/10.1155/2021/8868355</t>
  </si>
  <si>
    <t>Ali2021</t>
  </si>
  <si>
    <t>Recently, interest in Internet of Vehicles’ (IoV) technologies has significantly emerged due to the substantial development in the smart automobile industries. Internet of Vehicles’ technology enables vehicles to communicate with public networks and interact with the surrounding environment. It also allows vehicles to exchange and collect information about other vehicles and roads. IoV is introduced to enhance road users’ experience by reducing road congestion, improving traffic management, and ...</t>
  </si>
  <si>
    <t>2025-10-39</t>
  </si>
  <si>
    <t>PAPER_033</t>
  </si>
  <si>
    <t>Artificial Intelligence techniques for autonomous drone swarms</t>
  </si>
  <si>
    <t>Alejandro Puente-Castro; Alejandro Puente-Castro; Daniel Cebri\'an; Daniel Cebri\'an; Alejandro Sierra; Alejandro Sierra; Enrique Fernandez-Blanco; Enrique Fern\'andez-Blanco</t>
  </si>
  <si>
    <t>Proceedings of MOL2NET'21, Conference on Molecular, Biomedical &amp;amp; Computational Sciences and Engineering, 7th ed.</t>
  </si>
  <si>
    <t>10.3390/mol2net-07-11845</t>
  </si>
  <si>
    <t>https://doi.org/10.3390/mol2net-07-11845</t>
  </si>
  <si>
    <t>Coverage; SAR; Path Planning</t>
  </si>
  <si>
    <t>Puente-Castro2021</t>
  </si>
  <si>
    <t>Path planning is a critical problem that entails calculating a wide range of ideal paths for each drone in a swarm. If this challenge could be solved, it would be possible to control a large number of drones without the need for human involvement while preserving optimal trajectories. The fewer people needed to operate UAVs and the shorter the path, the lower the costs. The primary goal is to create Artificial Intelligence based systems that can calculate the best flying path for a swarm of dron...</t>
  </si>
  <si>
    <t>2025-10-40</t>
  </si>
  <si>
    <t>PAPER_034</t>
  </si>
  <si>
    <t>SoilMoistureMapper: a GNSS-R approach for soil moisture retrieval on UAV</t>
  </si>
  <si>
    <t>V Senyurek; M Farhad; A Gurbuz; M Kurum; R Moorhead</t>
  </si>
  <si>
    <t>https://www.semanticscholar.org/paper/a8c923130b17004b1efb163cb3a0eb426d00a28d</t>
  </si>
  <si>
    <t>Agriculture</t>
  </si>
  <si>
    <t>Senyurek2021</t>
  </si>
  <si>
    <t>2025-10-41</t>
  </si>
  <si>
    <t>PAPER_035</t>
  </si>
  <si>
    <t>PackerRobo: Model-based robot vision self supervised learning in CART</t>
  </si>
  <si>
    <t>Altaf Khan; Asif Khan; Jian Ping Li; Jian Ping Li; Mohammad Kamrul Hasan; Mohammad Kamrul Hasan; Naushad Varish; Naushad Varish; Zulkefli Mansor; Zulkefli Mansor; Shayla Islam; Shayla Islam; Rashid A Saeed; Rashid A Saeed; Majid Alshammari; Majid Alshammari; Hesham Alhumyani; Hesham Alhumyani</t>
  </si>
  <si>
    <t>Alexandria Engineering Journal</t>
  </si>
  <si>
    <t>10.1016/j.aej.2022.05.043</t>
  </si>
  <si>
    <t>https://doi.org/10.1016/j.aej.2022.05.043</t>
  </si>
  <si>
    <t>Khan2022</t>
  </si>
  <si>
    <t>Robots are most widely used to replace human contribution with machine generated response. When humans interact with robots, its mandatory for both to forecast actions based on current conditions. Huge efforts have been channelized towards attaining this perfect coordination. To decipher complex environments, the inference of robotic mobility and alteration of random unstructured scenarios is a complicated task in the field of visual processing and imaging. To address this issue, a new Vision-Ba...</t>
  </si>
  <si>
    <t>2025-10-42</t>
  </si>
  <si>
    <t>PAPER_036</t>
  </si>
  <si>
    <t>Near-Ground Delivery Drones Path Planning Design Based on BOA-TSAR Algorithm</t>
  </si>
  <si>
    <t>Yuan Luo; Jiakai Lu; Yi Zhang; Kai Zheng; Qiong Qin; Liang He; Yanyu Liu</t>
  </si>
  <si>
    <t>10.3390/drones6120393</t>
  </si>
  <si>
    <t>https://doi.org/10.3390/drones6120393</t>
  </si>
  <si>
    <t>Task Allocation; Mapping; Path Planning</t>
  </si>
  <si>
    <t>Luo2022</t>
  </si>
  <si>
    <t>With the advancement of technology and the rise of the unmanned aerial vehicle industry, the use of drones has grown tremendously. For drones performing near-ground delivery missions, the problem of 3D space-based path planning is particularly important in the autonomous navigation of drones in complex spaces. Therefore, an improved butterfly optimization (BOA-TSAR) algorithm is proposed in this paper to achieve the autonomous pathfinding of drones in 3D space. First, this paper improves the ran...</t>
  </si>
  <si>
    <t>2025-10-43</t>
  </si>
  <si>
    <t>PAPER_037</t>
  </si>
  <si>
    <t>SATCOM Supply Versus Demand and the Impact on Remotely Piloted Aircraft ISR</t>
  </si>
  <si>
    <t>Lisa A Baghal</t>
  </si>
  <si>
    <t>2016</t>
  </si>
  <si>
    <t>https://www.semanticscholar.org/paper/1c3e112658d0e06fa7bf224609a13ed31f6e74d3</t>
  </si>
  <si>
    <t>Baghal2016</t>
  </si>
  <si>
    <t>Abstract : Changes in Intelligence, Surveillance, and Reconnaissance (ISR) sensor technology have drastically increased the amount of available data, but the primary method of transmitting the data Satellite Communications (SATCOM) has not kept pace. Remotely Piloted Aircraft (RPA) such as the MQ-1 Predator and MQ-9 Reaper are a major user of SATCOM for both command and control and data links. Their full motion video (FMV) sensors provide exquisite ISR capability; however, FMV requires significa...</t>
  </si>
  <si>
    <t>2025-10-44</t>
  </si>
  <si>
    <t>PAPER_038</t>
  </si>
  <si>
    <t>Classifiers based on artificial intelligence in the prediction of recently planted coffee cultivars using a Remotely Piloted Aircraft System</t>
  </si>
  <si>
    <t>Nicole Lopes Bento; Gabriel Ara\'ujo e Silva Ferraz; Rafael Alexandre Pena Barata; Daniel Veiga Soares; Sabrina Aparecida Teodoro; Pedro Henrique de Oliveira Estima</t>
  </si>
  <si>
    <t>Anais da Academia Brasileira de Ciências</t>
  </si>
  <si>
    <t>10.1590/0001-3765202320210524</t>
  </si>
  <si>
    <t>Bento2023</t>
  </si>
  <si>
    <t>2025-10-45</t>
  </si>
  <si>
    <t>PAPER_039</t>
  </si>
  <si>
    <t>Real-Time Search and Rescue using Remotely Piloted Aircraft System with Frame Dropping</t>
  </si>
  <si>
    <t>Rohan Sharma; Micha\lAibin</t>
  </si>
  <si>
    <t>2023 International Conference on Computing, Networking and Communications (ICNC)</t>
  </si>
  <si>
    <t>10.1109/icnc57223.2023.10074217</t>
  </si>
  <si>
    <t>Search and Rescue; Tracking</t>
  </si>
  <si>
    <t>Sharma2023</t>
  </si>
  <si>
    <t>2025-10-46</t>
  </si>
  <si>
    <t>PAPER_040</t>
  </si>
  <si>
    <t>A comprehensive review on the users' identity privacy for 5G networks</t>
  </si>
  <si>
    <t>Mamoon M Saeed; Mamoon M Saeed; Mohammad Kamarul Hasan; Mohammad Kamrul Hasan; Mohammad Kamrul Hasan; Ahmed J Obaid; Ahmed J Obaid; Rashid A Saeed; Rashid A Saeed; Rania A Mokhtar; Rania A Mokhtar; Elmustafa Sayed Ali Ahmed; Elmustafa Sayed Ali; Elmustafa Sayed Ali; Md Akhtaruzzaman; Md. Akhtaruzzaman; Sanaz Amanlou; Sanaz Amanlou; A K M Zakir Hossain; A K M Zakir Hossain</t>
  </si>
  <si>
    <t>10.1049/cmu2.12327</t>
  </si>
  <si>
    <t>https://doi.org/10.1049/cmu2.12327</t>
  </si>
  <si>
    <t>Coverage; Tracking</t>
  </si>
  <si>
    <t>Saeed2022a</t>
  </si>
  <si>
    <t>AbstractFifth Generation (5G) is the final generation in mobile communications, with minimum latency, high data throughput, and extra coverage. The 5G network must guarantee very good security and privacy levels for all users for these features. Therefore, researchers have deliberated the privacy and security solution of 5G users. The 5G wireless network offers a futuristic concept that helps to solve challenges affecting previous communications generations. The key concern to many scholars in t...</t>
  </si>
  <si>
    <t>2025-10-47</t>
  </si>
  <si>
    <t>PAPER_041</t>
  </si>
  <si>
    <t>Predictors and protective factors for suicide ideation across remotely piloted aircraft career fields</t>
  </si>
  <si>
    <t>Kinsey B Bryant-Lees; Kinsey B Bryant-Lees; Rachael N Martinez; Rachael N Mart\'inez; Rachael N Martinez; Anna Frise; Anna Frise; Craig J Bryan; Craig J Bryan; Craig J Bryan; Tanya Goodman; Tanya Goodman; Wayne Chappelle; Wayne Chappelle; W T Thompson; William Thompson; William W Thompson</t>
  </si>
  <si>
    <t>Military Psychology</t>
  </si>
  <si>
    <t>10.1080/08995605.2021.1902181</t>
  </si>
  <si>
    <t>https://pubmed.ncbi.nlm.nih.gov/38536283</t>
  </si>
  <si>
    <t>Bryant-Lees2021</t>
  </si>
  <si>
    <t>The US Air Force remote warrior community comprises several career fields including remotely piloted aircraft pilots and intelligence, cyber, and sensor operators. The crews are responsible for wor...</t>
  </si>
  <si>
    <t>2025-10-48</t>
  </si>
  <si>
    <t>PAPER_042</t>
  </si>
  <si>
    <t>UAV-Enabled Intelligent Transportation Systems for the Smart City: Applications and Challenges</t>
  </si>
  <si>
    <t>Hamid Menouar; Hamid Menouar; İsmail G\"uven\cc; Ismail Guvenc; Kemal Akkaya; Kemal Akkaya; A Selcuk Uluagac; A Selcuk Uluagac; Abdullah Kadri; Abdullah Kadri; Adem Tuncer; Adem Tuncer</t>
  </si>
  <si>
    <t>IEEE Communications Magazine</t>
  </si>
  <si>
    <t>10.1109/mcom.2017.1600238cm</t>
  </si>
  <si>
    <t>https://doi.org/10.1109/mcom.2017.1600238cm</t>
  </si>
  <si>
    <t>Menouar2017</t>
  </si>
  <si>
    <t>There could be no smart city without a reliable and efficient transportation system. This necessity makes the ITS a key component of any smart city concept. While legacy ITS technologies are deployed worldwide in smart cities, enabling the next generation of ITS relies on effective integration of connected and autonomous vehicles, the two technologies that are under wide field testing in many cities around the world. Even though these two emerging technologies are crucial in enabling fully autom...</t>
  </si>
  <si>
    <t>2025-10-49</t>
  </si>
  <si>
    <t>PAPER_043</t>
  </si>
  <si>
    <t>On Safety Assurance of Symbolic Artificial Intelligence</t>
  </si>
  <si>
    <t>M Guzman; R Bouchekir; A Cook; J Haindl</t>
  </si>
  <si>
    <t>2024 IEEE 24th International Conference on Software Quality, Reliability, and Security Companion (QRS-C)</t>
  </si>
  <si>
    <t>10.1109/qrs-c63300.2024.00026</t>
  </si>
  <si>
    <t>https://doi.org/10.1109/qrs-c63300.2024.00026</t>
  </si>
  <si>
    <t>Guzman2024</t>
  </si>
  <si>
    <t>Artificial Intelligence (AI) has gained popularity in recent years. Symbolic Artificial Intelligence (symbolic AI), a subset of AI, holds significant promise, particularly in avionics software, offering potential enhancements to various aspects of its functionality, such as automatic decision inference or gen-erating optimal decisions. Despite its benefits, the integration of symbolic AI into avionics software introduces distinctive challenges, particularly in ensuring the safety and reliability...</t>
  </si>
  <si>
    <t>2025-10-50</t>
  </si>
  <si>
    <t>ESTADÍSTICAS GENERALES DEL ANÁLISIS</t>
  </si>
  <si>
    <t/>
  </si>
  <si>
    <t>Total de Papers:</t>
  </si>
  <si>
    <t>=COUNTA(TODOS_PAPERS!A:A)-1</t>
  </si>
  <si>
    <t>Papers Analizados:</t>
  </si>
  <si>
    <t>=COUNTIF(TODOS_PAPERS!AR:AR,"Analizado")</t>
  </si>
  <si>
    <t>Papers Pendientes:</t>
  </si>
  <si>
    <t>=COUNTIF(TODOS_PAPERS!AR:AR,"No leído")+COUNTIF(TODOS_PAPERS!AR:AR,"Abstract leído")</t>
  </si>
  <si>
    <t>% Progreso:</t>
  </si>
  <si>
    <t>=IF(B3=0,0,B4/B3*100)</t>
  </si>
  <si>
    <t>DISTRIBUCIÓN POR ALGORITMO</t>
  </si>
  <si>
    <t>PSO:</t>
  </si>
  <si>
    <t>=COUNTIF(TODOS_PAPERS!L:L,"PSO")</t>
  </si>
  <si>
    <t>ACO:</t>
  </si>
  <si>
    <t>=COUNTIF(TODOS_PAPERS!L:L,"ACO")</t>
  </si>
  <si>
    <t>ABC:</t>
  </si>
  <si>
    <t>=COUNTIF(TODOS_PAPERS!L:L,"ABC")</t>
  </si>
  <si>
    <t>Hybrid:</t>
  </si>
  <si>
    <t>=COUNTIF(TODOS_PAPERS!L:L,"Hybrid")</t>
  </si>
  <si>
    <t>DISTRIBUCIÓN POR APLICACIÓN</t>
  </si>
  <si>
    <t>Agricultura:</t>
  </si>
  <si>
    <t>=COUNTIF(TODOS_PAPERS!O:O,"Agricultura Precisión")</t>
  </si>
  <si>
    <t>Inspección Industrial:</t>
  </si>
  <si>
    <t>=COUNTIF(TODOS_PAPERS!O:O,"Inspección Industrial")</t>
  </si>
  <si>
    <t>Vigilancia:</t>
  </si>
  <si>
    <t>=COUNTIF(TODOS_PAPERS!O:O,"Vigilancia")</t>
  </si>
  <si>
    <t>MÉTRICAS DE CALIDAD</t>
  </si>
  <si>
    <t>Promedio Citaciones:</t>
  </si>
  <si>
    <t>=IF(COUNTA(TODOS_PAPERS!K:K)=0,0,AVERAGE(TODOS_PAPERS!K:K))</t>
  </si>
  <si>
    <t>Promedio Factor Impacto:</t>
  </si>
  <si>
    <t>=IF(COUNTA(TODOS_PAPERS!G:G)=0,0,AVERAGE(TODOS_PAPERS!G:G))</t>
  </si>
  <si>
    <t>Papers con Validación Real:</t>
  </si>
  <si>
    <t>=COUNTIF(TODOS_PAPERS!AA:AA,"Sí-*")</t>
  </si>
  <si>
    <t>% Validación Experimental:</t>
  </si>
  <si>
    <t>=IF(B3=0,0,B22/B3*100)</t>
  </si>
  <si>
    <t>DISTRIBUCIÓN POR RELEVANCIA</t>
  </si>
  <si>
    <t>Alta:</t>
  </si>
  <si>
    <t>=COUNTIF(TODOS_PAPERS!AH:AH,"Alta")</t>
  </si>
  <si>
    <t>Media:</t>
  </si>
  <si>
    <t>=COUNTIF(TODOS_PAPERS!AH:AH,"Media")</t>
  </si>
  <si>
    <t>Baja:</t>
  </si>
  <si>
    <t>=COUNTIF(TODOS_PAPERS!AH:AH,"Baja")</t>
  </si>
  <si>
    <t>DISTRIBUCIÓN TEMPORAL</t>
  </si>
  <si>
    <t>2024:</t>
  </si>
  <si>
    <t>=COUNTIF(TODOS_PAPERS!D:D,2024)</t>
  </si>
  <si>
    <t>2023:</t>
  </si>
  <si>
    <t>=COUNTIF(TODOS_PAPERS!D:D,2023)</t>
  </si>
  <si>
    <t>2022:</t>
  </si>
  <si>
    <t>=COUNTIF(TODOS_PAPERS!D:D,2022)</t>
  </si>
  <si>
    <t>2021:</t>
  </si>
  <si>
    <t>=COUNTIF(TODOS_PAPERS!D:D,2021)</t>
  </si>
  <si>
    <t>2020:</t>
  </si>
  <si>
    <t>=COUNTIF(TODOS_PAPERS!D:D,2020)</t>
  </si>
  <si>
    <t>2018-2019:</t>
  </si>
  <si>
    <t>=COUNTIF(TODOS_PAPERS!D:D,2019)+COUNTIF(TODOS_PAPERS!D:D,2018)</t>
  </si>
  <si>
    <t>Tipo_Publicacion</t>
  </si>
  <si>
    <t>Base_Datos</t>
  </si>
  <si>
    <t>Algoritmo_Principal</t>
  </si>
  <si>
    <t>Aplicacion_Principal</t>
  </si>
  <si>
    <t>Tipo_Ambiente</t>
  </si>
  <si>
    <t>Obstaculos</t>
  </si>
  <si>
    <t>Validacion_Tipo</t>
  </si>
  <si>
    <t>Pruebas_Reales</t>
  </si>
  <si>
    <t>Relevancia_Nivel</t>
  </si>
  <si>
    <t>Seccion_Paper</t>
  </si>
  <si>
    <t>Estado_Lectura</t>
  </si>
  <si>
    <t>Journal</t>
  </si>
  <si>
    <t>IEEE Xplore</t>
  </si>
  <si>
    <t>Agricultura Precisión</t>
  </si>
  <si>
    <t>2D-Estático</t>
  </si>
  <si>
    <t>No</t>
  </si>
  <si>
    <t>Solo Simulación</t>
  </si>
  <si>
    <t>Alta</t>
  </si>
  <si>
    <t>1-Introducción</t>
  </si>
  <si>
    <t>Conference</t>
  </si>
  <si>
    <t>SpringerLink</t>
  </si>
  <si>
    <t>Inspección Industrial</t>
  </si>
  <si>
    <t>2D-Dinámico</t>
  </si>
  <si>
    <t>Sí-Estáticos</t>
  </si>
  <si>
    <t>Solo Experimentos</t>
  </si>
  <si>
    <t>Sí-Laboratorio</t>
  </si>
  <si>
    <t>Media</t>
  </si>
  <si>
    <t>2-Fundamentos</t>
  </si>
  <si>
    <t>Abstract leído</t>
  </si>
  <si>
    <t>Review</t>
  </si>
  <si>
    <t>ScienceDirect</t>
  </si>
  <si>
    <t>ABC</t>
  </si>
  <si>
    <t>Vigilancia</t>
  </si>
  <si>
    <t>3D-Estático</t>
  </si>
  <si>
    <t>Sí-Dinámicos</t>
  </si>
  <si>
    <t>Simulación+Experimentos</t>
  </si>
  <si>
    <t>Sí-Campo</t>
  </si>
  <si>
    <t>Baja</t>
  </si>
  <si>
    <t>3-Metodología</t>
  </si>
  <si>
    <t>Lectura completa</t>
  </si>
  <si>
    <t>Book Chapter</t>
  </si>
  <si>
    <t>ACM Digital Library</t>
  </si>
  <si>
    <t>Búsqueda-Rescate</t>
  </si>
  <si>
    <t>3D-Dinámico</t>
  </si>
  <si>
    <t>Sí-Ambos</t>
  </si>
  <si>
    <t>Revisión Teórica</t>
  </si>
  <si>
    <t>Muy Baja</t>
  </si>
  <si>
    <t>4.1-Algoritmos PSO</t>
  </si>
  <si>
    <t>Analizado</t>
  </si>
  <si>
    <t>Preprint</t>
  </si>
  <si>
    <t>arXiv</t>
  </si>
  <si>
    <t>Firefly</t>
  </si>
  <si>
    <t>Mapeo</t>
  </si>
  <si>
    <t>4D (Tiempo-Espacio)</t>
  </si>
  <si>
    <t>4.2-Algoritmos ACO</t>
  </si>
  <si>
    <t>Descartado</t>
  </si>
  <si>
    <t>Google Scholar</t>
  </si>
  <si>
    <t>Bat</t>
  </si>
  <si>
    <t>Logística</t>
  </si>
  <si>
    <t>4.3-Algoritmos Otros</t>
  </si>
  <si>
    <t>ResearchGate</t>
  </si>
  <si>
    <t>Cuckoo Search</t>
  </si>
  <si>
    <t>Militar</t>
  </si>
  <si>
    <t>5-Análisis Comparativo</t>
  </si>
  <si>
    <t>Otro</t>
  </si>
  <si>
    <t>Grey Wolf</t>
  </si>
  <si>
    <t>6.1-Agricultura</t>
  </si>
  <si>
    <t>Whale Optimization</t>
  </si>
  <si>
    <t>6.2-Inspección</t>
  </si>
  <si>
    <t>Hybrid</t>
  </si>
  <si>
    <t>7-Desafíos</t>
  </si>
  <si>
    <t>8-Futuro</t>
  </si>
  <si>
    <t>9-Conclusión</t>
  </si>
  <si>
    <t>Multiple</t>
  </si>
  <si>
    <t>No citar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</si>
</sst>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Calibri"/>
      <family val="2"/>
      <scheme val="minor"/>
    </font>
    <font>
      <sz val="11"/>
      <color theme="0"/>
      <name val="Calibri"/>
      <scheme val="minor"/>
    </font>
    <font>
      <sz val="8"/>
      <name val="Calibri"/>
      <family val="2"/>
      <scheme val="minor"/>
    </font>
  </fonts>
  <fills count="3">
    <fill>
      <patternFill patternType="none"/>
    </fill>
    <fill>
      <patternFill patternType="gray125"/>
    </fill>
    <fill>
      <patternFill patternType="solid">
        <fgColor theme="7"/>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4">
    <xf numFmtId="0" fontId="0" fillId="0" borderId="0" xfId="0"/>
    <xf numFmtId="0" fontId="0" fillId="0" borderId="0" xfId="0" applyAlignment="1">
      <alignment wrapText="1"/>
    </xf>
    <xf numFmtId="14" fontId="0" fillId="0" borderId="0" xfId="0" applyNumberFormat="1"/>
    <xf numFmtId="0" fontId="1" fillId="2" borderId="0" xfId="1" applyBorder="1" applyAlignment="1">
      <alignment horizontal="center" vertical="center" wrapText="1"/>
    </xf>
  </cellXfs>
  <cellStyles count="2">
    <cellStyle name="Accent4" xfId="1" builtinId="41"/>
    <cellStyle name="Normal" xfId="0" builtinId="0"/>
  </cellStyles>
  <dxfs count="9">
    <dxf>
      <font>
        <color rgb="FF006100"/>
      </font>
      <fill>
        <patternFill>
          <bgColor rgb="FFC6EFCE"/>
        </patternFill>
      </fill>
    </dxf>
    <dxf>
      <font>
        <color theme="3"/>
      </font>
      <fill>
        <patternFill patternType="solid">
          <bgColor theme="8" tint="0.39997558519241921"/>
        </patternFill>
      </fill>
    </dxf>
    <dxf>
      <font>
        <color rgb="FF9C5700"/>
      </font>
      <fill>
        <patternFill>
          <bgColor rgb="FFFFEB9C"/>
        </patternFill>
      </fill>
    </dxf>
    <dxf>
      <font>
        <color theme="1" tint="0.249977111117893"/>
      </font>
      <fill>
        <patternFill patternType="solid">
          <bgColor theme="0" tint="-0.14999847407452621"/>
        </patternFill>
      </fill>
    </dxf>
    <dxf>
      <font>
        <color rgb="FF9C0006"/>
      </font>
    </dxf>
    <dxf>
      <font>
        <color rgb="FF006100"/>
      </font>
      <fill>
        <patternFill>
          <bgColor rgb="FFC6EFCE"/>
        </patternFill>
      </fill>
    </dxf>
    <dxf>
      <font>
        <color rgb="FF9C5700"/>
      </font>
      <fill>
        <patternFill>
          <bgColor rgb="FFFFEB9C"/>
        </patternFill>
      </fill>
    </dxf>
    <dxf>
      <fill>
        <patternFill>
          <bgColor rgb="FFFFC7CE"/>
        </patternFill>
      </fill>
    </dxf>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70"/>
  <sheetViews>
    <sheetView tabSelected="1" workbookViewId="0">
      <pane ySplit="1" topLeftCell="A44" activePane="bottomLeft" state="frozen"/>
      <selection pane="bottomLeft" activeCell="A47" sqref="A47"/>
    </sheetView>
  </sheetViews>
  <sheetFormatPr defaultRowHeight="15.75"/>
  <cols>
    <col min="1" max="1" width="11.125" customWidth="1"/>
    <col min="2" max="2" width="45" customWidth="1"/>
    <col min="3" max="3" width="22.75" customWidth="1"/>
    <col min="4" max="4" width="12.5" customWidth="1"/>
    <col min="5" max="5" width="45.75" customWidth="1"/>
    <col min="6" max="6" width="19.125" customWidth="1"/>
    <col min="7" max="7" width="18.375" customWidth="1"/>
    <col min="8" max="8" width="35.25" customWidth="1"/>
    <col min="9" max="9" width="52.5" customWidth="1"/>
    <col min="10" max="10" width="24.375" customWidth="1"/>
    <col min="11" max="11" width="16.25" customWidth="1"/>
    <col min="12" max="12" width="21.25" customWidth="1"/>
    <col min="13" max="13" width="23.875" customWidth="1"/>
    <col min="14" max="14" width="27.125" customWidth="1"/>
    <col min="15" max="15" width="24.875" customWidth="1"/>
    <col min="16" max="16" width="34.125" customWidth="1"/>
    <col min="17" max="17" width="19.125" customWidth="1"/>
    <col min="18" max="18" width="20.75" customWidth="1"/>
    <col min="19" max="19" width="19.25" customWidth="1"/>
    <col min="20" max="20" width="30.5" customWidth="1"/>
    <col min="21" max="21" width="23" customWidth="1"/>
    <col min="22" max="22" width="18.375" customWidth="1"/>
    <col min="23" max="23" width="38" customWidth="1"/>
    <col min="24" max="24" width="33.875" customWidth="1"/>
    <col min="25" max="25" width="30.625" customWidth="1"/>
    <col min="26" max="26" width="33.625" customWidth="1"/>
    <col min="27" max="27" width="25.25" customWidth="1"/>
    <col min="28" max="28" width="23.5" customWidth="1"/>
    <col min="29" max="29" width="77.75" customWidth="1"/>
    <col min="30" max="30" width="55" customWidth="1"/>
    <col min="31" max="31" width="34.5" customWidth="1"/>
    <col min="32" max="32" width="70.625" customWidth="1"/>
    <col min="33" max="33" width="50.5" customWidth="1"/>
    <col min="34" max="34" width="17" customWidth="1"/>
    <col min="35" max="35" width="27.375" customWidth="1"/>
    <col min="36" max="36" width="71.75" customWidth="1"/>
    <col min="37" max="37" width="26.75" customWidth="1"/>
    <col min="38" max="38" width="39.5" customWidth="1"/>
    <col min="39" max="39" width="24.625" customWidth="1"/>
    <col min="40" max="40" width="22.875" customWidth="1"/>
    <col min="41" max="41" width="21" customWidth="1"/>
    <col min="42" max="42" width="21.625" customWidth="1"/>
    <col min="43" max="43" width="24.875" customWidth="1"/>
    <col min="44" max="44" width="21" customWidth="1"/>
    <col min="45" max="45" width="18.625" customWidth="1"/>
    <col min="46" max="46" width="21.75" customWidth="1"/>
    <col min="47" max="47" width="36.125" customWidth="1"/>
    <col min="48" max="48" width="9.125" customWidth="1"/>
  </cols>
  <sheetData>
    <row r="1" spans="1:47" s="3" customFormat="1" ht="1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row>
    <row r="2" spans="1:47" ht="189">
      <c r="A2" t="s">
        <v>47</v>
      </c>
      <c r="B2" s="1" t="s">
        <v>48</v>
      </c>
      <c r="C2" s="1" t="s">
        <v>49</v>
      </c>
      <c r="D2" s="1" t="s">
        <v>50</v>
      </c>
      <c r="E2" s="1" t="s">
        <v>51</v>
      </c>
      <c r="F2" s="1" t="s">
        <v>52</v>
      </c>
      <c r="G2">
        <v>6.45</v>
      </c>
      <c r="H2" s="1" t="s">
        <v>53</v>
      </c>
      <c r="I2" s="1" t="s">
        <v>54</v>
      </c>
      <c r="J2" t="s">
        <v>55</v>
      </c>
      <c r="K2">
        <v>0</v>
      </c>
      <c r="L2" t="s">
        <v>56</v>
      </c>
      <c r="M2" t="s">
        <v>57</v>
      </c>
      <c r="O2" t="s">
        <v>58</v>
      </c>
      <c r="AJ2" s="1" t="s">
        <v>59</v>
      </c>
      <c r="AK2" s="1"/>
      <c r="AL2" s="1" t="s">
        <v>60</v>
      </c>
      <c r="AM2" s="1"/>
      <c r="AR2" t="s">
        <v>61</v>
      </c>
      <c r="AS2" s="2" t="s">
        <v>62</v>
      </c>
      <c r="AT2" s="1"/>
      <c r="AU2" s="1"/>
    </row>
    <row r="3" spans="1:47" ht="189">
      <c r="A3" t="s">
        <v>63</v>
      </c>
      <c r="B3" s="1" t="s">
        <v>64</v>
      </c>
      <c r="C3" s="1" t="s">
        <v>65</v>
      </c>
      <c r="D3" s="1" t="s">
        <v>66</v>
      </c>
      <c r="E3" s="1" t="s">
        <v>67</v>
      </c>
      <c r="F3" t="s">
        <v>52</v>
      </c>
      <c r="H3" s="1" t="s">
        <v>68</v>
      </c>
      <c r="I3" s="1" t="s">
        <v>69</v>
      </c>
      <c r="J3" t="s">
        <v>55</v>
      </c>
      <c r="K3">
        <v>107</v>
      </c>
      <c r="L3" s="1" t="s">
        <v>70</v>
      </c>
      <c r="O3" t="s">
        <v>71</v>
      </c>
      <c r="AJ3" t="s">
        <v>72</v>
      </c>
      <c r="AL3" s="1" t="s">
        <v>73</v>
      </c>
      <c r="AR3" t="s">
        <v>61</v>
      </c>
      <c r="AS3" s="2" t="s">
        <v>74</v>
      </c>
    </row>
    <row r="4" spans="1:47" ht="63">
      <c r="A4" t="s">
        <v>75</v>
      </c>
      <c r="B4" s="1" t="s">
        <v>76</v>
      </c>
      <c r="C4" s="1" t="s">
        <v>77</v>
      </c>
      <c r="D4" s="1" t="s">
        <v>78</v>
      </c>
      <c r="E4" s="1" t="s">
        <v>79</v>
      </c>
      <c r="F4" t="s">
        <v>52</v>
      </c>
      <c r="H4" s="1" t="s">
        <v>80</v>
      </c>
      <c r="I4" s="1" t="s">
        <v>81</v>
      </c>
      <c r="J4" t="s">
        <v>55</v>
      </c>
      <c r="K4">
        <v>287</v>
      </c>
      <c r="L4" s="1" t="s">
        <v>82</v>
      </c>
      <c r="O4" t="s">
        <v>83</v>
      </c>
      <c r="AJ4" t="s">
        <v>84</v>
      </c>
      <c r="AL4" s="1"/>
      <c r="AR4" t="s">
        <v>61</v>
      </c>
      <c r="AS4" s="2" t="s">
        <v>85</v>
      </c>
    </row>
    <row r="5" spans="1:47" ht="189">
      <c r="A5" t="s">
        <v>86</v>
      </c>
      <c r="B5" s="1" t="s">
        <v>87</v>
      </c>
      <c r="C5" s="1" t="s">
        <v>88</v>
      </c>
      <c r="D5" s="1" t="s">
        <v>66</v>
      </c>
      <c r="E5" s="1" t="s">
        <v>89</v>
      </c>
      <c r="F5" t="s">
        <v>52</v>
      </c>
      <c r="H5" s="1" t="s">
        <v>90</v>
      </c>
      <c r="I5" s="1" t="s">
        <v>91</v>
      </c>
      <c r="J5" t="s">
        <v>55</v>
      </c>
      <c r="K5">
        <v>1</v>
      </c>
      <c r="L5" s="1" t="s">
        <v>92</v>
      </c>
      <c r="O5" t="s">
        <v>93</v>
      </c>
      <c r="AJ5" t="s">
        <v>94</v>
      </c>
      <c r="AL5" s="1" t="s">
        <v>95</v>
      </c>
      <c r="AR5" t="s">
        <v>61</v>
      </c>
      <c r="AS5" s="2" t="s">
        <v>96</v>
      </c>
    </row>
    <row r="6" spans="1:47" ht="189">
      <c r="A6" t="s">
        <v>97</v>
      </c>
      <c r="B6" s="1" t="s">
        <v>98</v>
      </c>
      <c r="C6" s="1" t="s">
        <v>99</v>
      </c>
      <c r="D6" s="1" t="s">
        <v>100</v>
      </c>
      <c r="E6" s="1" t="s">
        <v>101</v>
      </c>
      <c r="F6" t="s">
        <v>52</v>
      </c>
      <c r="H6" s="1" t="s">
        <v>102</v>
      </c>
      <c r="I6" s="1" t="s">
        <v>103</v>
      </c>
      <c r="J6" t="s">
        <v>55</v>
      </c>
      <c r="K6">
        <v>8</v>
      </c>
      <c r="L6" s="1" t="s">
        <v>92</v>
      </c>
      <c r="O6" t="s">
        <v>104</v>
      </c>
      <c r="AJ6" t="s">
        <v>105</v>
      </c>
      <c r="AL6" s="1" t="s">
        <v>106</v>
      </c>
      <c r="AR6" t="s">
        <v>61</v>
      </c>
      <c r="AS6" s="2" t="s">
        <v>107</v>
      </c>
    </row>
    <row r="7" spans="1:47" ht="189">
      <c r="A7" t="s">
        <v>108</v>
      </c>
      <c r="B7" s="1" t="s">
        <v>109</v>
      </c>
      <c r="C7" s="1" t="s">
        <v>110</v>
      </c>
      <c r="D7" s="1" t="s">
        <v>111</v>
      </c>
      <c r="E7" s="1" t="s">
        <v>112</v>
      </c>
      <c r="F7" t="s">
        <v>52</v>
      </c>
      <c r="H7" s="1" t="s">
        <v>113</v>
      </c>
      <c r="I7" s="1" t="s">
        <v>114</v>
      </c>
      <c r="J7" t="s">
        <v>55</v>
      </c>
      <c r="K7">
        <v>7</v>
      </c>
      <c r="L7" s="1" t="s">
        <v>92</v>
      </c>
      <c r="O7" t="s">
        <v>104</v>
      </c>
      <c r="AJ7" t="s">
        <v>115</v>
      </c>
      <c r="AL7" s="1" t="s">
        <v>116</v>
      </c>
      <c r="AR7" t="s">
        <v>61</v>
      </c>
      <c r="AS7" s="2" t="s">
        <v>117</v>
      </c>
    </row>
    <row r="8" spans="1:47" ht="189">
      <c r="A8" t="s">
        <v>118</v>
      </c>
      <c r="B8" s="1" t="s">
        <v>119</v>
      </c>
      <c r="C8" s="1" t="s">
        <v>120</v>
      </c>
      <c r="D8" s="1" t="s">
        <v>121</v>
      </c>
      <c r="E8" s="1" t="s">
        <v>122</v>
      </c>
      <c r="F8" t="s">
        <v>52</v>
      </c>
      <c r="H8" s="1" t="s">
        <v>123</v>
      </c>
      <c r="I8" s="1" t="s">
        <v>124</v>
      </c>
      <c r="J8" t="s">
        <v>55</v>
      </c>
      <c r="K8">
        <v>0</v>
      </c>
      <c r="L8" s="1" t="s">
        <v>125</v>
      </c>
      <c r="O8" t="s">
        <v>126</v>
      </c>
      <c r="AJ8" t="s">
        <v>127</v>
      </c>
      <c r="AL8" s="1" t="s">
        <v>128</v>
      </c>
      <c r="AR8" t="s">
        <v>61</v>
      </c>
      <c r="AS8" s="2" t="s">
        <v>129</v>
      </c>
    </row>
    <row r="9" spans="1:47" ht="31.5">
      <c r="A9" t="s">
        <v>130</v>
      </c>
      <c r="B9" s="1" t="s">
        <v>131</v>
      </c>
      <c r="C9" s="1" t="s">
        <v>132</v>
      </c>
      <c r="D9" s="1" t="s">
        <v>133</v>
      </c>
      <c r="E9" s="1" t="s">
        <v>134</v>
      </c>
      <c r="F9" t="s">
        <v>52</v>
      </c>
      <c r="H9" s="1" t="s">
        <v>135</v>
      </c>
      <c r="I9" s="1" t="s">
        <v>136</v>
      </c>
      <c r="J9" t="s">
        <v>55</v>
      </c>
      <c r="K9">
        <v>60</v>
      </c>
      <c r="L9" s="1" t="s">
        <v>92</v>
      </c>
      <c r="O9" t="s">
        <v>104</v>
      </c>
      <c r="AJ9" t="s">
        <v>137</v>
      </c>
      <c r="AL9" s="1"/>
      <c r="AR9" t="s">
        <v>61</v>
      </c>
      <c r="AS9" s="2" t="s">
        <v>138</v>
      </c>
    </row>
    <row r="10" spans="1:47" ht="63">
      <c r="A10" t="s">
        <v>139</v>
      </c>
      <c r="B10" s="1" t="s">
        <v>140</v>
      </c>
      <c r="C10" s="1" t="s">
        <v>141</v>
      </c>
      <c r="D10" s="1" t="s">
        <v>78</v>
      </c>
      <c r="E10" s="1" t="s">
        <v>142</v>
      </c>
      <c r="F10" t="s">
        <v>52</v>
      </c>
      <c r="H10" s="1" t="s">
        <v>143</v>
      </c>
      <c r="I10" s="1" t="s">
        <v>144</v>
      </c>
      <c r="J10" t="s">
        <v>55</v>
      </c>
      <c r="K10">
        <v>732</v>
      </c>
      <c r="L10" s="1" t="s">
        <v>92</v>
      </c>
      <c r="O10" t="s">
        <v>145</v>
      </c>
      <c r="AJ10" t="s">
        <v>146</v>
      </c>
      <c r="AL10" s="1"/>
      <c r="AR10" t="s">
        <v>61</v>
      </c>
      <c r="AS10" s="2" t="s">
        <v>147</v>
      </c>
    </row>
    <row r="11" spans="1:47" ht="31.5">
      <c r="A11" t="s">
        <v>148</v>
      </c>
      <c r="B11" s="1" t="s">
        <v>149</v>
      </c>
      <c r="C11" s="1" t="s">
        <v>150</v>
      </c>
      <c r="D11" s="1" t="s">
        <v>66</v>
      </c>
      <c r="E11" s="1"/>
      <c r="F11" t="s">
        <v>52</v>
      </c>
      <c r="H11" s="1"/>
      <c r="I11" s="1" t="s">
        <v>151</v>
      </c>
      <c r="J11" t="s">
        <v>152</v>
      </c>
      <c r="L11" s="1" t="s">
        <v>92</v>
      </c>
      <c r="O11" t="s">
        <v>104</v>
      </c>
      <c r="AJ11" t="s">
        <v>153</v>
      </c>
      <c r="AL11" s="1"/>
      <c r="AR11" t="s">
        <v>61</v>
      </c>
      <c r="AS11" s="2" t="s">
        <v>154</v>
      </c>
    </row>
    <row r="12" spans="1:47" ht="47.25">
      <c r="A12" t="s">
        <v>155</v>
      </c>
      <c r="B12" s="1" t="s">
        <v>156</v>
      </c>
      <c r="C12" s="1" t="s">
        <v>157</v>
      </c>
      <c r="D12" s="1" t="s">
        <v>121</v>
      </c>
      <c r="E12" s="1" t="s">
        <v>158</v>
      </c>
      <c r="F12" t="s">
        <v>52</v>
      </c>
      <c r="H12" s="1" t="s">
        <v>159</v>
      </c>
      <c r="I12" s="1" t="s">
        <v>160</v>
      </c>
      <c r="J12" t="s">
        <v>55</v>
      </c>
      <c r="K12">
        <v>0</v>
      </c>
      <c r="L12" s="1" t="s">
        <v>56</v>
      </c>
      <c r="O12" t="s">
        <v>161</v>
      </c>
      <c r="AJ12" t="s">
        <v>162</v>
      </c>
      <c r="AL12" s="1"/>
      <c r="AR12" t="s">
        <v>61</v>
      </c>
      <c r="AS12" s="2" t="s">
        <v>163</v>
      </c>
    </row>
    <row r="13" spans="1:47" ht="189">
      <c r="A13" t="s">
        <v>164</v>
      </c>
      <c r="B13" s="1" t="s">
        <v>165</v>
      </c>
      <c r="C13" s="1" t="s">
        <v>166</v>
      </c>
      <c r="D13" s="1" t="s">
        <v>100</v>
      </c>
      <c r="E13" s="1" t="s">
        <v>167</v>
      </c>
      <c r="F13" t="s">
        <v>52</v>
      </c>
      <c r="H13" s="1" t="s">
        <v>168</v>
      </c>
      <c r="I13" s="1" t="s">
        <v>169</v>
      </c>
      <c r="J13" t="s">
        <v>55</v>
      </c>
      <c r="K13">
        <v>0</v>
      </c>
      <c r="L13" s="1" t="s">
        <v>170</v>
      </c>
      <c r="O13" t="s">
        <v>171</v>
      </c>
      <c r="AJ13" t="s">
        <v>172</v>
      </c>
      <c r="AL13" s="1" t="s">
        <v>173</v>
      </c>
      <c r="AR13" t="s">
        <v>61</v>
      </c>
      <c r="AS13" s="2" t="s">
        <v>174</v>
      </c>
    </row>
    <row r="14" spans="1:47" ht="189">
      <c r="A14" t="s">
        <v>175</v>
      </c>
      <c r="B14" s="1" t="s">
        <v>176</v>
      </c>
      <c r="C14" s="1" t="s">
        <v>177</v>
      </c>
      <c r="D14" s="1" t="s">
        <v>133</v>
      </c>
      <c r="E14" s="1" t="s">
        <v>178</v>
      </c>
      <c r="F14" t="s">
        <v>52</v>
      </c>
      <c r="H14" s="1" t="s">
        <v>179</v>
      </c>
      <c r="I14" s="1" t="s">
        <v>180</v>
      </c>
      <c r="J14" t="s">
        <v>55</v>
      </c>
      <c r="K14">
        <v>25</v>
      </c>
      <c r="L14" s="1" t="s">
        <v>92</v>
      </c>
      <c r="O14" t="s">
        <v>104</v>
      </c>
      <c r="AJ14" t="s">
        <v>181</v>
      </c>
      <c r="AL14" s="1" t="s">
        <v>182</v>
      </c>
      <c r="AR14" t="s">
        <v>61</v>
      </c>
      <c r="AS14" s="2" t="s">
        <v>183</v>
      </c>
    </row>
    <row r="15" spans="1:47" ht="189">
      <c r="A15" t="s">
        <v>184</v>
      </c>
      <c r="B15" s="1" t="s">
        <v>185</v>
      </c>
      <c r="C15" s="1" t="s">
        <v>186</v>
      </c>
      <c r="D15" s="1" t="s">
        <v>66</v>
      </c>
      <c r="E15" s="1" t="s">
        <v>187</v>
      </c>
      <c r="F15" t="s">
        <v>52</v>
      </c>
      <c r="H15" s="1" t="s">
        <v>188</v>
      </c>
      <c r="I15" s="1" t="s">
        <v>189</v>
      </c>
      <c r="J15" t="s">
        <v>55</v>
      </c>
      <c r="K15">
        <v>24</v>
      </c>
      <c r="L15" s="1" t="s">
        <v>92</v>
      </c>
      <c r="O15" t="s">
        <v>104</v>
      </c>
      <c r="AJ15" t="s">
        <v>190</v>
      </c>
      <c r="AL15" s="1" t="s">
        <v>191</v>
      </c>
      <c r="AR15" t="s">
        <v>61</v>
      </c>
      <c r="AS15" s="2" t="s">
        <v>192</v>
      </c>
    </row>
    <row r="16" spans="1:47" ht="126">
      <c r="A16" t="s">
        <v>193</v>
      </c>
      <c r="B16" s="1" t="s">
        <v>194</v>
      </c>
      <c r="C16" s="1" t="s">
        <v>195</v>
      </c>
      <c r="D16" s="1" t="s">
        <v>78</v>
      </c>
      <c r="E16" s="1" t="s">
        <v>196</v>
      </c>
      <c r="F16" t="s">
        <v>52</v>
      </c>
      <c r="H16" s="1" t="s">
        <v>197</v>
      </c>
      <c r="I16" s="1" t="s">
        <v>198</v>
      </c>
      <c r="J16" t="s">
        <v>55</v>
      </c>
      <c r="K16">
        <v>1</v>
      </c>
      <c r="L16" s="1" t="s">
        <v>92</v>
      </c>
      <c r="O16" t="s">
        <v>104</v>
      </c>
      <c r="AJ16" t="s">
        <v>199</v>
      </c>
      <c r="AL16" s="1" t="s">
        <v>200</v>
      </c>
      <c r="AR16" t="s">
        <v>61</v>
      </c>
      <c r="AS16" s="2" t="s">
        <v>201</v>
      </c>
    </row>
    <row r="17" spans="1:45" ht="220.5">
      <c r="A17" t="s">
        <v>202</v>
      </c>
      <c r="B17" s="1" t="s">
        <v>203</v>
      </c>
      <c r="C17" s="1" t="s">
        <v>204</v>
      </c>
      <c r="D17" s="1" t="s">
        <v>133</v>
      </c>
      <c r="E17" s="1" t="s">
        <v>205</v>
      </c>
      <c r="F17" t="s">
        <v>52</v>
      </c>
      <c r="H17" s="1" t="s">
        <v>206</v>
      </c>
      <c r="I17" s="1" t="s">
        <v>207</v>
      </c>
      <c r="J17" t="s">
        <v>55</v>
      </c>
      <c r="K17">
        <v>61</v>
      </c>
      <c r="L17" s="1" t="s">
        <v>92</v>
      </c>
      <c r="O17" t="s">
        <v>104</v>
      </c>
      <c r="AJ17" t="s">
        <v>208</v>
      </c>
      <c r="AL17" s="1" t="s">
        <v>209</v>
      </c>
      <c r="AR17" t="s">
        <v>61</v>
      </c>
      <c r="AS17" s="2" t="s">
        <v>210</v>
      </c>
    </row>
    <row r="18" spans="1:45" ht="189">
      <c r="A18" t="s">
        <v>211</v>
      </c>
      <c r="B18" s="1" t="s">
        <v>212</v>
      </c>
      <c r="C18" s="1" t="s">
        <v>213</v>
      </c>
      <c r="D18" s="1" t="s">
        <v>214</v>
      </c>
      <c r="E18" s="1"/>
      <c r="F18" t="s">
        <v>52</v>
      </c>
      <c r="H18" s="1" t="s">
        <v>215</v>
      </c>
      <c r="I18" s="1" t="s">
        <v>216</v>
      </c>
      <c r="J18" t="s">
        <v>55</v>
      </c>
      <c r="K18">
        <v>0</v>
      </c>
      <c r="L18" s="1" t="s">
        <v>217</v>
      </c>
      <c r="O18" t="s">
        <v>218</v>
      </c>
      <c r="AJ18" t="s">
        <v>219</v>
      </c>
      <c r="AL18" s="1" t="s">
        <v>220</v>
      </c>
      <c r="AR18" t="s">
        <v>61</v>
      </c>
      <c r="AS18" s="2" t="s">
        <v>221</v>
      </c>
    </row>
    <row r="19" spans="1:45" ht="204.75">
      <c r="A19" t="s">
        <v>222</v>
      </c>
      <c r="B19" s="1" t="s">
        <v>223</v>
      </c>
      <c r="C19" s="1" t="s">
        <v>224</v>
      </c>
      <c r="D19" s="1" t="s">
        <v>50</v>
      </c>
      <c r="E19" s="1" t="s">
        <v>225</v>
      </c>
      <c r="F19" t="s">
        <v>52</v>
      </c>
      <c r="H19" s="1" t="s">
        <v>226</v>
      </c>
      <c r="I19" s="1" t="s">
        <v>227</v>
      </c>
      <c r="J19" t="s">
        <v>55</v>
      </c>
      <c r="K19">
        <v>1</v>
      </c>
      <c r="L19" s="1" t="s">
        <v>228</v>
      </c>
      <c r="O19" t="s">
        <v>58</v>
      </c>
      <c r="AJ19" t="s">
        <v>229</v>
      </c>
      <c r="AL19" s="1" t="s">
        <v>230</v>
      </c>
      <c r="AR19" t="s">
        <v>61</v>
      </c>
      <c r="AS19" s="2" t="s">
        <v>231</v>
      </c>
    </row>
    <row r="20" spans="1:45" ht="204.75">
      <c r="A20" t="s">
        <v>232</v>
      </c>
      <c r="B20" s="1" t="s">
        <v>233</v>
      </c>
      <c r="C20" s="1" t="s">
        <v>234</v>
      </c>
      <c r="D20" s="1" t="s">
        <v>66</v>
      </c>
      <c r="E20" s="1" t="s">
        <v>235</v>
      </c>
      <c r="F20" t="s">
        <v>52</v>
      </c>
      <c r="H20" s="1" t="s">
        <v>236</v>
      </c>
      <c r="I20" s="1" t="s">
        <v>237</v>
      </c>
      <c r="J20" t="s">
        <v>55</v>
      </c>
      <c r="K20">
        <v>31</v>
      </c>
      <c r="L20" s="1" t="s">
        <v>92</v>
      </c>
      <c r="O20" t="s">
        <v>93</v>
      </c>
      <c r="AJ20" t="s">
        <v>238</v>
      </c>
      <c r="AL20" s="1" t="s">
        <v>239</v>
      </c>
      <c r="AR20" t="s">
        <v>61</v>
      </c>
      <c r="AS20" s="2" t="s">
        <v>240</v>
      </c>
    </row>
    <row r="21" spans="1:45" ht="189">
      <c r="A21" t="s">
        <v>241</v>
      </c>
      <c r="B21" s="1" t="s">
        <v>242</v>
      </c>
      <c r="C21" s="1" t="s">
        <v>243</v>
      </c>
      <c r="D21" s="1" t="s">
        <v>66</v>
      </c>
      <c r="E21" s="1" t="s">
        <v>244</v>
      </c>
      <c r="F21" t="s">
        <v>52</v>
      </c>
      <c r="H21" s="1" t="s">
        <v>245</v>
      </c>
      <c r="I21" s="1" t="s">
        <v>246</v>
      </c>
      <c r="J21" t="s">
        <v>55</v>
      </c>
      <c r="K21">
        <v>3</v>
      </c>
      <c r="L21" s="1" t="s">
        <v>228</v>
      </c>
      <c r="O21" t="s">
        <v>247</v>
      </c>
      <c r="P21" t="s">
        <v>248</v>
      </c>
      <c r="AJ21" t="s">
        <v>249</v>
      </c>
      <c r="AL21" s="1" t="s">
        <v>250</v>
      </c>
      <c r="AR21" t="s">
        <v>61</v>
      </c>
      <c r="AS21" s="2" t="s">
        <v>251</v>
      </c>
    </row>
    <row r="22" spans="1:45" ht="189">
      <c r="A22" t="s">
        <v>252</v>
      </c>
      <c r="B22" s="1" t="s">
        <v>253</v>
      </c>
      <c r="C22" s="1" t="s">
        <v>254</v>
      </c>
      <c r="D22" s="1" t="s">
        <v>255</v>
      </c>
      <c r="E22" s="1" t="s">
        <v>256</v>
      </c>
      <c r="F22" t="s">
        <v>52</v>
      </c>
      <c r="H22" s="1" t="s">
        <v>257</v>
      </c>
      <c r="I22" s="1" t="s">
        <v>258</v>
      </c>
      <c r="J22" t="s">
        <v>55</v>
      </c>
      <c r="K22">
        <v>10</v>
      </c>
      <c r="L22" s="1" t="s">
        <v>92</v>
      </c>
      <c r="O22" t="s">
        <v>259</v>
      </c>
      <c r="AJ22" t="s">
        <v>260</v>
      </c>
      <c r="AL22" s="1" t="s">
        <v>261</v>
      </c>
      <c r="AR22" t="s">
        <v>61</v>
      </c>
      <c r="AS22" s="2" t="s">
        <v>262</v>
      </c>
    </row>
    <row r="23" spans="1:45" ht="204.75">
      <c r="A23" t="s">
        <v>263</v>
      </c>
      <c r="B23" s="1" t="s">
        <v>264</v>
      </c>
      <c r="C23" s="1" t="s">
        <v>265</v>
      </c>
      <c r="D23" s="1" t="s">
        <v>66</v>
      </c>
      <c r="E23" s="1" t="s">
        <v>266</v>
      </c>
      <c r="F23" t="s">
        <v>52</v>
      </c>
      <c r="H23" s="1" t="s">
        <v>267</v>
      </c>
      <c r="I23" s="1" t="s">
        <v>268</v>
      </c>
      <c r="J23" t="s">
        <v>55</v>
      </c>
      <c r="K23">
        <v>35</v>
      </c>
      <c r="L23" s="1" t="s">
        <v>228</v>
      </c>
      <c r="O23" t="s">
        <v>269</v>
      </c>
      <c r="AJ23" t="s">
        <v>270</v>
      </c>
      <c r="AL23" s="1" t="s">
        <v>271</v>
      </c>
      <c r="AR23" t="s">
        <v>61</v>
      </c>
      <c r="AS23" s="2" t="s">
        <v>272</v>
      </c>
    </row>
    <row r="24" spans="1:45" ht="204.75">
      <c r="A24" t="s">
        <v>273</v>
      </c>
      <c r="B24" s="1" t="s">
        <v>274</v>
      </c>
      <c r="C24" s="1" t="s">
        <v>275</v>
      </c>
      <c r="D24" s="1" t="s">
        <v>66</v>
      </c>
      <c r="E24" s="1" t="s">
        <v>276</v>
      </c>
      <c r="F24" t="s">
        <v>52</v>
      </c>
      <c r="H24" s="1" t="s">
        <v>277</v>
      </c>
      <c r="I24" s="1" t="s">
        <v>278</v>
      </c>
      <c r="J24" t="s">
        <v>55</v>
      </c>
      <c r="K24">
        <v>313</v>
      </c>
      <c r="L24" s="1" t="s">
        <v>161</v>
      </c>
      <c r="O24" t="s">
        <v>279</v>
      </c>
      <c r="P24" t="s">
        <v>280</v>
      </c>
      <c r="AJ24" t="s">
        <v>281</v>
      </c>
      <c r="AL24" s="1" t="s">
        <v>282</v>
      </c>
      <c r="AR24" t="s">
        <v>61</v>
      </c>
      <c r="AS24" s="2" t="s">
        <v>283</v>
      </c>
    </row>
    <row r="25" spans="1:45" ht="189">
      <c r="A25" t="s">
        <v>284</v>
      </c>
      <c r="B25" s="1" t="s">
        <v>285</v>
      </c>
      <c r="C25" s="1" t="s">
        <v>286</v>
      </c>
      <c r="D25" s="1" t="s">
        <v>50</v>
      </c>
      <c r="E25" s="1" t="s">
        <v>287</v>
      </c>
      <c r="F25" t="s">
        <v>52</v>
      </c>
      <c r="H25" s="1" t="s">
        <v>288</v>
      </c>
      <c r="I25" s="1" t="s">
        <v>289</v>
      </c>
      <c r="J25" t="s">
        <v>55</v>
      </c>
      <c r="K25">
        <v>0</v>
      </c>
      <c r="L25" s="1" t="s">
        <v>56</v>
      </c>
      <c r="O25" t="s">
        <v>290</v>
      </c>
      <c r="AJ25" t="s">
        <v>291</v>
      </c>
      <c r="AL25" s="1" t="s">
        <v>292</v>
      </c>
      <c r="AR25" t="s">
        <v>61</v>
      </c>
      <c r="AS25" s="2" t="s">
        <v>293</v>
      </c>
    </row>
    <row r="26" spans="1:45" ht="189">
      <c r="A26" t="s">
        <v>294</v>
      </c>
      <c r="B26" s="1" t="s">
        <v>295</v>
      </c>
      <c r="C26" s="1" t="s">
        <v>296</v>
      </c>
      <c r="D26" s="1" t="s">
        <v>297</v>
      </c>
      <c r="E26" s="1" t="s">
        <v>298</v>
      </c>
      <c r="F26" t="s">
        <v>52</v>
      </c>
      <c r="H26" s="1" t="s">
        <v>299</v>
      </c>
      <c r="I26" s="1" t="s">
        <v>300</v>
      </c>
      <c r="J26" t="s">
        <v>55</v>
      </c>
      <c r="K26">
        <v>4</v>
      </c>
      <c r="L26" s="1" t="s">
        <v>301</v>
      </c>
      <c r="O26" t="s">
        <v>171</v>
      </c>
      <c r="AJ26" t="s">
        <v>302</v>
      </c>
      <c r="AL26" s="1" t="s">
        <v>303</v>
      </c>
      <c r="AR26" t="s">
        <v>61</v>
      </c>
      <c r="AS26" s="2" t="s">
        <v>304</v>
      </c>
    </row>
    <row r="27" spans="1:45" ht="189">
      <c r="A27" t="s">
        <v>305</v>
      </c>
      <c r="B27" s="1" t="s">
        <v>306</v>
      </c>
      <c r="C27" s="1" t="s">
        <v>307</v>
      </c>
      <c r="D27" s="1" t="s">
        <v>50</v>
      </c>
      <c r="E27" s="1" t="s">
        <v>308</v>
      </c>
      <c r="F27" t="s">
        <v>52</v>
      </c>
      <c r="H27" s="1" t="s">
        <v>309</v>
      </c>
      <c r="I27" s="1" t="s">
        <v>310</v>
      </c>
      <c r="J27" t="s">
        <v>55</v>
      </c>
      <c r="K27">
        <v>1</v>
      </c>
      <c r="L27" s="1" t="s">
        <v>228</v>
      </c>
      <c r="O27" t="s">
        <v>311</v>
      </c>
      <c r="P27" t="s">
        <v>312</v>
      </c>
      <c r="AJ27" t="s">
        <v>313</v>
      </c>
      <c r="AL27" s="1" t="s">
        <v>314</v>
      </c>
      <c r="AR27" t="s">
        <v>61</v>
      </c>
      <c r="AS27" s="2" t="s">
        <v>315</v>
      </c>
    </row>
    <row r="28" spans="1:45" ht="189">
      <c r="A28" t="s">
        <v>316</v>
      </c>
      <c r="B28" s="1" t="s">
        <v>317</v>
      </c>
      <c r="C28" s="1" t="s">
        <v>318</v>
      </c>
      <c r="D28" s="1" t="s">
        <v>100</v>
      </c>
      <c r="E28" s="1" t="s">
        <v>319</v>
      </c>
      <c r="F28" t="s">
        <v>52</v>
      </c>
      <c r="H28" s="1" t="s">
        <v>320</v>
      </c>
      <c r="I28" s="1" t="s">
        <v>321</v>
      </c>
      <c r="J28" t="s">
        <v>55</v>
      </c>
      <c r="K28">
        <v>5</v>
      </c>
      <c r="L28" s="1" t="s">
        <v>322</v>
      </c>
      <c r="O28" t="s">
        <v>58</v>
      </c>
      <c r="AJ28" t="s">
        <v>323</v>
      </c>
      <c r="AL28" s="1" t="s">
        <v>324</v>
      </c>
      <c r="AR28" t="s">
        <v>61</v>
      </c>
      <c r="AS28" s="2" t="s">
        <v>325</v>
      </c>
    </row>
    <row r="29" spans="1:45" ht="189">
      <c r="A29" t="s">
        <v>326</v>
      </c>
      <c r="B29" s="1" t="s">
        <v>327</v>
      </c>
      <c r="C29" s="1" t="s">
        <v>328</v>
      </c>
      <c r="D29" s="1" t="s">
        <v>297</v>
      </c>
      <c r="E29" s="1" t="s">
        <v>329</v>
      </c>
      <c r="F29" t="s">
        <v>52</v>
      </c>
      <c r="H29" s="1" t="s">
        <v>330</v>
      </c>
      <c r="I29" s="1" t="s">
        <v>331</v>
      </c>
      <c r="J29" t="s">
        <v>55</v>
      </c>
      <c r="K29">
        <v>4</v>
      </c>
      <c r="L29" s="1" t="s">
        <v>332</v>
      </c>
      <c r="O29" t="s">
        <v>333</v>
      </c>
      <c r="AJ29" t="s">
        <v>334</v>
      </c>
      <c r="AL29" s="1" t="s">
        <v>335</v>
      </c>
      <c r="AR29" t="s">
        <v>61</v>
      </c>
      <c r="AS29" s="2" t="s">
        <v>336</v>
      </c>
    </row>
    <row r="30" spans="1:45" ht="63">
      <c r="A30" t="s">
        <v>337</v>
      </c>
      <c r="B30" s="1" t="s">
        <v>338</v>
      </c>
      <c r="C30" s="1" t="s">
        <v>339</v>
      </c>
      <c r="D30" s="1" t="s">
        <v>214</v>
      </c>
      <c r="E30" s="1"/>
      <c r="F30" t="s">
        <v>52</v>
      </c>
      <c r="H30" s="1"/>
      <c r="I30" s="1" t="s">
        <v>340</v>
      </c>
      <c r="J30" t="s">
        <v>152</v>
      </c>
      <c r="L30" s="1" t="s">
        <v>92</v>
      </c>
      <c r="O30" t="s">
        <v>93</v>
      </c>
      <c r="AJ30" t="s">
        <v>341</v>
      </c>
      <c r="AL30" s="1"/>
      <c r="AR30" t="s">
        <v>61</v>
      </c>
      <c r="AS30" s="2" t="s">
        <v>342</v>
      </c>
    </row>
    <row r="31" spans="1:45" ht="189">
      <c r="A31" t="s">
        <v>343</v>
      </c>
      <c r="B31" s="1" t="s">
        <v>344</v>
      </c>
      <c r="C31" s="1" t="s">
        <v>345</v>
      </c>
      <c r="D31" s="1" t="s">
        <v>50</v>
      </c>
      <c r="E31" s="1" t="s">
        <v>346</v>
      </c>
      <c r="F31" t="s">
        <v>52</v>
      </c>
      <c r="H31" s="1" t="s">
        <v>347</v>
      </c>
      <c r="I31" s="1" t="s">
        <v>348</v>
      </c>
      <c r="J31" t="s">
        <v>55</v>
      </c>
      <c r="K31">
        <v>6</v>
      </c>
      <c r="L31" s="1" t="s">
        <v>56</v>
      </c>
      <c r="O31" t="s">
        <v>349</v>
      </c>
      <c r="P31" t="s">
        <v>350</v>
      </c>
      <c r="AJ31" t="s">
        <v>351</v>
      </c>
      <c r="AL31" s="1" t="s">
        <v>352</v>
      </c>
      <c r="AR31" t="s">
        <v>61</v>
      </c>
      <c r="AS31" s="2" t="s">
        <v>353</v>
      </c>
    </row>
    <row r="32" spans="1:45" ht="189">
      <c r="A32" t="s">
        <v>354</v>
      </c>
      <c r="B32" s="1" t="s">
        <v>355</v>
      </c>
      <c r="C32" s="1" t="s">
        <v>356</v>
      </c>
      <c r="D32" s="1" t="s">
        <v>255</v>
      </c>
      <c r="E32" s="1"/>
      <c r="F32" t="s">
        <v>52</v>
      </c>
      <c r="H32" s="1"/>
      <c r="I32" s="1" t="s">
        <v>357</v>
      </c>
      <c r="J32" t="s">
        <v>152</v>
      </c>
      <c r="L32" s="1" t="s">
        <v>217</v>
      </c>
      <c r="O32" t="s">
        <v>358</v>
      </c>
      <c r="AJ32" t="s">
        <v>359</v>
      </c>
      <c r="AL32" s="1" t="s">
        <v>360</v>
      </c>
      <c r="AR32" t="s">
        <v>61</v>
      </c>
      <c r="AS32" s="2" t="s">
        <v>361</v>
      </c>
    </row>
    <row r="33" spans="1:45" ht="283.5">
      <c r="A33" t="s">
        <v>362</v>
      </c>
      <c r="B33" s="1" t="s">
        <v>363</v>
      </c>
      <c r="C33" s="1" t="s">
        <v>364</v>
      </c>
      <c r="D33" s="1" t="s">
        <v>133</v>
      </c>
      <c r="E33" s="1" t="s">
        <v>365</v>
      </c>
      <c r="F33" t="s">
        <v>52</v>
      </c>
      <c r="H33" s="1" t="s">
        <v>366</v>
      </c>
      <c r="I33" s="1" t="s">
        <v>367</v>
      </c>
      <c r="J33" t="s">
        <v>55</v>
      </c>
      <c r="K33">
        <v>159</v>
      </c>
      <c r="L33" s="1" t="s">
        <v>228</v>
      </c>
      <c r="O33" t="s">
        <v>83</v>
      </c>
      <c r="AJ33" t="s">
        <v>368</v>
      </c>
      <c r="AL33" s="1" t="s">
        <v>369</v>
      </c>
      <c r="AR33" t="s">
        <v>61</v>
      </c>
      <c r="AS33" s="2" t="s">
        <v>370</v>
      </c>
    </row>
    <row r="34" spans="1:45" ht="189">
      <c r="A34" t="s">
        <v>371</v>
      </c>
      <c r="B34" s="1" t="s">
        <v>372</v>
      </c>
      <c r="C34" s="1" t="s">
        <v>373</v>
      </c>
      <c r="D34" s="1" t="s">
        <v>133</v>
      </c>
      <c r="E34" s="1" t="s">
        <v>374</v>
      </c>
      <c r="F34" t="s">
        <v>52</v>
      </c>
      <c r="H34" s="1" t="s">
        <v>375</v>
      </c>
      <c r="I34" s="1" t="s">
        <v>376</v>
      </c>
      <c r="J34" t="s">
        <v>55</v>
      </c>
      <c r="K34">
        <v>0</v>
      </c>
      <c r="L34" s="1" t="s">
        <v>217</v>
      </c>
      <c r="O34" t="s">
        <v>377</v>
      </c>
      <c r="AJ34" t="s">
        <v>378</v>
      </c>
      <c r="AL34" s="1" t="s">
        <v>379</v>
      </c>
      <c r="AR34" t="s">
        <v>61</v>
      </c>
      <c r="AS34" s="2" t="s">
        <v>380</v>
      </c>
    </row>
    <row r="35" spans="1:45" ht="47.25">
      <c r="A35" t="s">
        <v>381</v>
      </c>
      <c r="B35" s="1" t="s">
        <v>382</v>
      </c>
      <c r="C35" s="1" t="s">
        <v>383</v>
      </c>
      <c r="D35" s="1" t="s">
        <v>133</v>
      </c>
      <c r="E35" s="1"/>
      <c r="F35" t="s">
        <v>52</v>
      </c>
      <c r="H35" s="1"/>
      <c r="I35" s="1" t="s">
        <v>384</v>
      </c>
      <c r="J35" t="s">
        <v>152</v>
      </c>
      <c r="L35" s="1" t="s">
        <v>161</v>
      </c>
      <c r="O35" t="s">
        <v>385</v>
      </c>
      <c r="AJ35" t="s">
        <v>386</v>
      </c>
      <c r="AL35" s="1"/>
      <c r="AR35" t="s">
        <v>61</v>
      </c>
      <c r="AS35" s="2" t="s">
        <v>387</v>
      </c>
    </row>
    <row r="36" spans="1:45" ht="220.5">
      <c r="A36" t="s">
        <v>388</v>
      </c>
      <c r="B36" s="1" t="s">
        <v>389</v>
      </c>
      <c r="C36" s="1" t="s">
        <v>390</v>
      </c>
      <c r="D36" s="1" t="s">
        <v>66</v>
      </c>
      <c r="E36" s="1" t="s">
        <v>391</v>
      </c>
      <c r="F36" t="s">
        <v>52</v>
      </c>
      <c r="H36" t="s">
        <v>392</v>
      </c>
      <c r="I36" s="1" t="s">
        <v>393</v>
      </c>
      <c r="J36" t="s">
        <v>55</v>
      </c>
      <c r="K36">
        <v>26</v>
      </c>
      <c r="L36" s="1" t="s">
        <v>92</v>
      </c>
      <c r="O36" t="s">
        <v>259</v>
      </c>
      <c r="AJ36" t="s">
        <v>394</v>
      </c>
      <c r="AL36" s="1" t="s">
        <v>395</v>
      </c>
      <c r="AR36" t="s">
        <v>61</v>
      </c>
      <c r="AS36" s="2" t="s">
        <v>396</v>
      </c>
    </row>
    <row r="37" spans="1:45" ht="189">
      <c r="A37" t="s">
        <v>397</v>
      </c>
      <c r="B37" s="1" t="s">
        <v>398</v>
      </c>
      <c r="C37" s="1" t="s">
        <v>399</v>
      </c>
      <c r="D37" s="1" t="s">
        <v>66</v>
      </c>
      <c r="E37" s="1" t="s">
        <v>319</v>
      </c>
      <c r="F37" t="s">
        <v>52</v>
      </c>
      <c r="H37" t="s">
        <v>400</v>
      </c>
      <c r="I37" s="1" t="s">
        <v>401</v>
      </c>
      <c r="J37" t="s">
        <v>55</v>
      </c>
      <c r="K37">
        <v>8</v>
      </c>
      <c r="L37" s="1" t="s">
        <v>125</v>
      </c>
      <c r="O37" t="s">
        <v>402</v>
      </c>
      <c r="P37" t="s">
        <v>248</v>
      </c>
      <c r="AJ37" t="s">
        <v>403</v>
      </c>
      <c r="AL37" s="1" t="s">
        <v>404</v>
      </c>
      <c r="AR37" t="s">
        <v>61</v>
      </c>
      <c r="AS37" s="2" t="s">
        <v>405</v>
      </c>
    </row>
    <row r="38" spans="1:45" ht="189">
      <c r="A38" t="s">
        <v>406</v>
      </c>
      <c r="B38" s="1" t="s">
        <v>407</v>
      </c>
      <c r="C38" s="1" t="s">
        <v>408</v>
      </c>
      <c r="D38" s="1" t="s">
        <v>409</v>
      </c>
      <c r="E38" s="1"/>
      <c r="F38" t="s">
        <v>52</v>
      </c>
      <c r="I38" s="1" t="s">
        <v>410</v>
      </c>
      <c r="J38" t="s">
        <v>152</v>
      </c>
      <c r="L38" s="1" t="s">
        <v>92</v>
      </c>
      <c r="O38" t="s">
        <v>93</v>
      </c>
      <c r="AJ38" t="s">
        <v>411</v>
      </c>
      <c r="AL38" s="1" t="s">
        <v>412</v>
      </c>
      <c r="AR38" t="s">
        <v>61</v>
      </c>
      <c r="AS38" s="2" t="s">
        <v>413</v>
      </c>
    </row>
    <row r="39" spans="1:45" ht="110.25">
      <c r="A39" t="s">
        <v>414</v>
      </c>
      <c r="B39" s="1" t="s">
        <v>415</v>
      </c>
      <c r="C39" s="1" t="s">
        <v>416</v>
      </c>
      <c r="D39" s="1" t="s">
        <v>297</v>
      </c>
      <c r="E39" s="1" t="s">
        <v>417</v>
      </c>
      <c r="F39" t="s">
        <v>52</v>
      </c>
      <c r="H39" t="s">
        <v>418</v>
      </c>
      <c r="I39" s="1"/>
      <c r="J39" t="s">
        <v>55</v>
      </c>
      <c r="K39">
        <v>1</v>
      </c>
      <c r="L39" s="1" t="s">
        <v>92</v>
      </c>
      <c r="O39" t="s">
        <v>104</v>
      </c>
      <c r="AJ39" t="s">
        <v>419</v>
      </c>
      <c r="AL39" s="1"/>
      <c r="AR39" t="s">
        <v>61</v>
      </c>
      <c r="AS39" s="2" t="s">
        <v>420</v>
      </c>
    </row>
    <row r="40" spans="1:45" ht="31.5">
      <c r="A40" t="s">
        <v>421</v>
      </c>
      <c r="B40" s="1" t="s">
        <v>422</v>
      </c>
      <c r="C40" s="1" t="s">
        <v>423</v>
      </c>
      <c r="D40" s="1" t="s">
        <v>297</v>
      </c>
      <c r="E40" s="1" t="s">
        <v>424</v>
      </c>
      <c r="F40" t="s">
        <v>52</v>
      </c>
      <c r="H40" t="s">
        <v>425</v>
      </c>
      <c r="I40" s="1"/>
      <c r="J40" t="s">
        <v>55</v>
      </c>
      <c r="K40">
        <v>2</v>
      </c>
      <c r="L40" s="1" t="s">
        <v>92</v>
      </c>
      <c r="O40" t="s">
        <v>426</v>
      </c>
      <c r="AJ40" t="s">
        <v>427</v>
      </c>
      <c r="AL40" s="1"/>
      <c r="AR40" t="s">
        <v>61</v>
      </c>
      <c r="AS40" s="2" t="s">
        <v>428</v>
      </c>
    </row>
    <row r="41" spans="1:45" ht="299.25">
      <c r="A41" t="s">
        <v>429</v>
      </c>
      <c r="B41" s="1" t="s">
        <v>430</v>
      </c>
      <c r="C41" s="1" t="s">
        <v>431</v>
      </c>
      <c r="D41" s="1" t="s">
        <v>66</v>
      </c>
      <c r="E41" s="1" t="s">
        <v>205</v>
      </c>
      <c r="F41" t="s">
        <v>52</v>
      </c>
      <c r="H41" t="s">
        <v>432</v>
      </c>
      <c r="I41" s="1" t="s">
        <v>433</v>
      </c>
      <c r="J41" t="s">
        <v>55</v>
      </c>
      <c r="K41">
        <v>40</v>
      </c>
      <c r="L41" s="1" t="s">
        <v>92</v>
      </c>
      <c r="O41" t="s">
        <v>434</v>
      </c>
      <c r="AJ41" t="s">
        <v>435</v>
      </c>
      <c r="AL41" s="1" t="s">
        <v>436</v>
      </c>
      <c r="AR41" t="s">
        <v>61</v>
      </c>
      <c r="AS41" s="2" t="s">
        <v>437</v>
      </c>
    </row>
    <row r="42" spans="1:45" ht="220.5">
      <c r="A42" t="s">
        <v>438</v>
      </c>
      <c r="B42" s="1" t="s">
        <v>439</v>
      </c>
      <c r="C42" s="1" t="s">
        <v>440</v>
      </c>
      <c r="D42" s="1" t="s">
        <v>133</v>
      </c>
      <c r="E42" s="1" t="s">
        <v>441</v>
      </c>
      <c r="F42" t="s">
        <v>52</v>
      </c>
      <c r="H42" t="s">
        <v>442</v>
      </c>
      <c r="I42" s="1" t="s">
        <v>443</v>
      </c>
      <c r="J42" t="s">
        <v>55</v>
      </c>
      <c r="K42">
        <v>2</v>
      </c>
      <c r="L42" s="1" t="s">
        <v>92</v>
      </c>
      <c r="O42" t="s">
        <v>104</v>
      </c>
      <c r="AJ42" t="s">
        <v>444</v>
      </c>
      <c r="AL42" s="1" t="s">
        <v>445</v>
      </c>
      <c r="AR42" t="s">
        <v>61</v>
      </c>
      <c r="AS42" s="2" t="s">
        <v>446</v>
      </c>
    </row>
    <row r="43" spans="1:45" ht="189">
      <c r="A43" t="s">
        <v>447</v>
      </c>
      <c r="B43" s="1" t="s">
        <v>448</v>
      </c>
      <c r="C43" s="1" t="s">
        <v>449</v>
      </c>
      <c r="D43" s="1" t="s">
        <v>255</v>
      </c>
      <c r="E43" s="1" t="s">
        <v>450</v>
      </c>
      <c r="F43" t="s">
        <v>52</v>
      </c>
      <c r="H43" t="s">
        <v>451</v>
      </c>
      <c r="I43" s="1" t="s">
        <v>452</v>
      </c>
      <c r="J43" t="s">
        <v>55</v>
      </c>
      <c r="K43">
        <v>785</v>
      </c>
      <c r="L43" s="1" t="s">
        <v>161</v>
      </c>
      <c r="O43" t="s">
        <v>385</v>
      </c>
      <c r="AJ43" t="s">
        <v>453</v>
      </c>
      <c r="AL43" s="1" t="s">
        <v>454</v>
      </c>
      <c r="AR43" t="s">
        <v>61</v>
      </c>
      <c r="AS43" s="2" t="s">
        <v>455</v>
      </c>
    </row>
    <row r="44" spans="1:45" ht="189">
      <c r="A44" t="s">
        <v>456</v>
      </c>
      <c r="B44" s="1" t="s">
        <v>457</v>
      </c>
      <c r="C44" s="1" t="s">
        <v>458</v>
      </c>
      <c r="D44" s="1" t="s">
        <v>100</v>
      </c>
      <c r="E44" s="1" t="s">
        <v>459</v>
      </c>
      <c r="F44" t="s">
        <v>52</v>
      </c>
      <c r="H44" t="s">
        <v>460</v>
      </c>
      <c r="I44" s="1" t="s">
        <v>461</v>
      </c>
      <c r="J44" t="s">
        <v>55</v>
      </c>
      <c r="K44">
        <v>0</v>
      </c>
      <c r="L44" s="1" t="s">
        <v>92</v>
      </c>
      <c r="O44" t="s">
        <v>104</v>
      </c>
      <c r="AJ44" t="s">
        <v>462</v>
      </c>
      <c r="AL44" s="1" t="s">
        <v>463</v>
      </c>
      <c r="AR44" t="s">
        <v>61</v>
      </c>
      <c r="AS44" s="2" t="s">
        <v>464</v>
      </c>
    </row>
    <row r="45" spans="1:45">
      <c r="C45" s="1"/>
    </row>
    <row r="46" spans="1:45">
      <c r="C46" s="1"/>
    </row>
    <row r="47" spans="1:45">
      <c r="C47" s="1"/>
    </row>
    <row r="48" spans="1:45">
      <c r="C48" s="1"/>
    </row>
    <row r="49" spans="3:3">
      <c r="C49" s="1"/>
    </row>
    <row r="50" spans="3:3">
      <c r="C50" s="1"/>
    </row>
    <row r="51" spans="3:3">
      <c r="C51" s="1"/>
    </row>
    <row r="52" spans="3:3">
      <c r="C52" s="1"/>
    </row>
    <row r="53" spans="3:3">
      <c r="C53" s="1"/>
    </row>
    <row r="54" spans="3:3">
      <c r="C54" s="1"/>
    </row>
    <row r="55" spans="3:3">
      <c r="C55" s="1"/>
    </row>
    <row r="56" spans="3:3">
      <c r="C56" s="1"/>
    </row>
    <row r="57" spans="3:3">
      <c r="C57" s="1"/>
    </row>
    <row r="58" spans="3:3">
      <c r="C58" s="1"/>
    </row>
    <row r="59" spans="3:3">
      <c r="C59" s="1"/>
    </row>
    <row r="60" spans="3:3">
      <c r="C60" s="1"/>
    </row>
    <row r="61" spans="3:3">
      <c r="C61" s="1"/>
    </row>
    <row r="62" spans="3:3">
      <c r="C62" s="1"/>
    </row>
    <row r="63" spans="3:3">
      <c r="C63" s="1"/>
    </row>
    <row r="64" spans="3:3">
      <c r="C64" s="1"/>
    </row>
    <row r="65" spans="3:3">
      <c r="C65" s="1"/>
    </row>
    <row r="66" spans="3:3">
      <c r="C66" s="1"/>
    </row>
    <row r="67" spans="3:3">
      <c r="C67" s="1"/>
    </row>
    <row r="68" spans="3:3">
      <c r="C68" s="1"/>
    </row>
    <row r="69" spans="3:3">
      <c r="C69" s="1"/>
    </row>
    <row r="70" spans="3:3">
      <c r="C70" s="1"/>
    </row>
  </sheetData>
  <autoFilter ref="A1:AU2" xr:uid="{00000000-0001-0000-0000-000000000000}"/>
  <phoneticPr fontId="2" type="noConversion"/>
  <conditionalFormatting sqref="K2:K100">
    <cfRule type="colorScale" priority="1">
      <colorScale>
        <cfvo type="min"/>
        <cfvo type="percentile" val="50"/>
        <cfvo type="max"/>
        <color rgb="FF5A8AC6"/>
        <color rgb="FFFCFCFF"/>
        <color rgb="FFF8696B"/>
      </colorScale>
    </cfRule>
    <cfRule type="colorScale" priority="2">
      <colorScale>
        <cfvo type="min"/>
        <cfvo type="percentile" val="50"/>
        <cfvo type="max"/>
        <color rgb="FF5A8AC6"/>
        <color rgb="FFFCFCFF"/>
        <color rgb="FFF8696B"/>
      </colorScale>
    </cfRule>
  </conditionalFormatting>
  <conditionalFormatting sqref="AH2:AH100">
    <cfRule type="containsText" dxfId="8" priority="9" operator="containsText" text="Muy Baja">
      <formula>NOT(ISERROR(SEARCH("Muy Baja",AH2)))</formula>
    </cfRule>
    <cfRule type="containsText" dxfId="7" priority="10" operator="containsText" text="Baja ">
      <formula>NOT(ISERROR(SEARCH("Baja ",AH2)))</formula>
    </cfRule>
    <cfRule type="containsText" dxfId="6" priority="11" operator="containsText" text="Media ">
      <formula>NOT(ISERROR(SEARCH("Media ",AH2)))</formula>
    </cfRule>
    <cfRule type="containsText" dxfId="5" priority="12" operator="containsText" text="Alta">
      <formula>NOT(ISERROR(SEARCH("Alta",AH2)))</formula>
    </cfRule>
  </conditionalFormatting>
  <conditionalFormatting sqref="AR2:AR100">
    <cfRule type="containsText" dxfId="4" priority="4" operator="containsText" text="Descartado">
      <formula>NOT(ISERROR(SEARCH("Descartado",AR2)))</formula>
    </cfRule>
    <cfRule type="containsText" dxfId="3" priority="5" operator="containsText" text="No leído">
      <formula>NOT(ISERROR(SEARCH("No leído",AR2)))</formula>
    </cfRule>
    <cfRule type="containsText" dxfId="2" priority="6" operator="containsText" text="Abstract leído">
      <formula>NOT(ISERROR(SEARCH("Abstract leído",AR2)))</formula>
    </cfRule>
    <cfRule type="containsText" dxfId="1" priority="7" operator="containsText" text="Lectura completa">
      <formula>NOT(ISERROR(SEARCH("Lectura completa",AR2)))</formula>
    </cfRule>
    <cfRule type="containsText" dxfId="0" priority="8" operator="containsText" text="Analizado">
      <formula>NOT(ISERROR(SEARCH("Analizado",AR2)))</formula>
    </cfRule>
  </conditionalFormatting>
  <dataValidations count="11">
    <dataValidation type="list" allowBlank="1" showInputMessage="1" showErrorMessage="1" sqref="F2:F100" xr:uid="{CEC5665F-518E-4AF3-AB4B-01F20CF1C31C}">
      <formula1>"Journal,Conference,Review,Book Chapter,Preprint"</formula1>
    </dataValidation>
    <dataValidation type="list" allowBlank="1" showInputMessage="1" showErrorMessage="1" sqref="J2:J100" xr:uid="{B5D74571-8FB3-4231-879C-B3B2F0EB6C13}">
      <formula1>"IEEE Xplore,SpringerLink,ScienceDirect,ACM Digital Library,arXiv,Google Scholar,ResearchGate,Otro"</formula1>
    </dataValidation>
    <dataValidation type="list" allowBlank="1" showInputMessage="1" showErrorMessage="1" sqref="L2:L100" xr:uid="{EF8C283D-5A88-41C6-9A0A-0E7668F992D2}">
      <formula1>"PSO,ACO,ABC,GA,Firefly,Bat,Cuckoo Search,Grey Wolf,Whale Optimization,Hybrid,Otro"</formula1>
    </dataValidation>
    <dataValidation type="list" allowBlank="1" showInputMessage="1" showErrorMessage="1" sqref="O2:O100" xr:uid="{43C8320D-E6A3-4DAF-A5A0-DCAF193EE00D}">
      <formula1>"Agricultura Precisión,Inspección Industrial,Vigilancia,Búsqueda-Rescate,Mapeo,Logística,Militar,Otro"</formula1>
    </dataValidation>
    <dataValidation type="list" allowBlank="1" showInputMessage="1" showErrorMessage="1" sqref="R2:R100" xr:uid="{88BB029D-B52D-495C-92D1-6589D1B06034}">
      <formula1>"2D-Estático,2D-Dinámico,3D-Estático,3D-Dinámico,4D (Tiempo-Espacio)"</formula1>
    </dataValidation>
    <dataValidation type="list" allowBlank="1" showInputMessage="1" showErrorMessage="1" sqref="S2:S100" xr:uid="{D3C5830B-D48E-4FA5-A4B4-466F765C10F8}">
      <formula1>"No,Sí-Estáticos,Sí-Dinámicos,Sí-Ambos"</formula1>
    </dataValidation>
    <dataValidation type="list" allowBlank="1" showInputMessage="1" showErrorMessage="1" sqref="Y2:Y100" xr:uid="{B504512C-400D-4959-A05F-4ADDCB2D4FD2}">
      <formula1>"Solo Simulación,Solo Experimentos,Simulación+Experimentos,Revisión Teórica"</formula1>
    </dataValidation>
    <dataValidation type="list" allowBlank="1" showInputMessage="1" showErrorMessage="1" sqref="AA2:AA100" xr:uid="{9D6D730D-E054-41DF-9EB0-B5D984174496}">
      <formula1>"No,Sí-Laboratorio,Sí-Campo,Sí-Ambos"</formula1>
    </dataValidation>
    <dataValidation type="list" allowBlank="1" showInputMessage="1" showErrorMessage="1" sqref="AH2:AH100" xr:uid="{7467D220-3BA3-4866-AE20-9023594106C1}">
      <formula1>"Alta,Media,Baja,Muy Baja"</formula1>
    </dataValidation>
    <dataValidation type="list" allowBlank="1" showInputMessage="1" showErrorMessage="1" sqref="AI2:AI100" xr:uid="{C93FE89D-03C3-4EBF-A3B9-3F49F54F1E39}">
      <formula1>"1-Introducción,2-Fundamentos,3-Metodología,4.1-Algoritmos PSO,4.2-Algoritmos ACO,4.3-Algoritmos Otros,5-Análisis Comparativo,6.1-Agricultura,6.2-Inspección,7-Desafíos,8-Futuro,9-Conclusión,Multiple,No citar"</formula1>
    </dataValidation>
    <dataValidation type="list" allowBlank="1" showInputMessage="1" showErrorMessage="1" sqref="AR2:AR100" xr:uid="{2AF77BF2-2C0A-4A82-9F6B-A5C2A19E2505}">
      <formula1>"No leído,Abstract leído,Lectura completa,Analizado,Descartado"</formula1>
    </dataValidation>
  </dataValidations>
  <pageMargins left="0" right="0" top="0" bottom="0" header="0" footer="0"/>
  <ignoredErrors>
    <ignoredError sqref="A1:AU1 G2 M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75"/>
  <sheetData>
    <row r="1" spans="1:1">
      <c r="A1" t="e">
        <f ca="1">Título Completo</f>
        <v>#NAME?</v>
      </c>
    </row>
  </sheetData>
  <pageMargins left="0" right="0" top="0" bottom="0" header="0" footer="0"/>
  <ignoredErrors>
    <ignoredError sqref="A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75"/>
  <sheetData>
    <row r="1" spans="1:1">
      <c r="A1" t="e">
        <f ca="1">Título Completo</f>
        <v>#NAME?</v>
      </c>
    </row>
  </sheetData>
  <pageMargins left="0" right="0" top="0" bottom="0" header="0" footer="0"/>
  <ignoredErrors>
    <ignoredError sqref="A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5.75"/>
  <sheetData>
    <row r="1" spans="1:1">
      <c r="A1" t="e">
        <f ca="1">Título Completo</f>
        <v>#NAME?</v>
      </c>
    </row>
  </sheetData>
  <pageMargins left="0" right="0" top="0" bottom="0" header="0" footer="0"/>
  <ignoredErrors>
    <ignoredError sqref="A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5.75"/>
  <sheetData>
    <row r="1" spans="1:1">
      <c r="A1" t="e">
        <f ca="1">Título Completo</f>
        <v>#NAME?</v>
      </c>
    </row>
  </sheetData>
  <pageMargins left="0" right="0" top="0" bottom="0" header="0" footer="0"/>
  <ignoredErrors>
    <ignoredError sqref="A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5.75"/>
  <sheetData>
    <row r="1" spans="1:1">
      <c r="A1" t="e">
        <f ca="1">Título Completo</f>
        <v>#NAME?</v>
      </c>
    </row>
  </sheetData>
  <pageMargins left="0" right="0" top="0" bottom="0" header="0" footer="0"/>
  <ignoredErrors>
    <ignoredError sqref="A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6"/>
  <sheetViews>
    <sheetView workbookViewId="0">
      <selection activeCell="G9" sqref="G9"/>
    </sheetView>
  </sheetViews>
  <sheetFormatPr defaultRowHeight="15.75"/>
  <sheetData>
    <row r="1" spans="1:2">
      <c r="A1" t="s">
        <v>465</v>
      </c>
    </row>
    <row r="2" spans="1:2">
      <c r="A2" t="s">
        <v>466</v>
      </c>
    </row>
    <row r="3" spans="1:2">
      <c r="A3" t="s">
        <v>467</v>
      </c>
      <c r="B3" t="s">
        <v>468</v>
      </c>
    </row>
    <row r="4" spans="1:2">
      <c r="A4" t="s">
        <v>469</v>
      </c>
      <c r="B4" t="s">
        <v>470</v>
      </c>
    </row>
    <row r="5" spans="1:2">
      <c r="A5" t="s">
        <v>471</v>
      </c>
      <c r="B5" t="s">
        <v>472</v>
      </c>
    </row>
    <row r="6" spans="1:2">
      <c r="A6" t="s">
        <v>473</v>
      </c>
      <c r="B6" t="s">
        <v>474</v>
      </c>
    </row>
    <row r="7" spans="1:2">
      <c r="A7" t="s">
        <v>466</v>
      </c>
    </row>
    <row r="8" spans="1:2">
      <c r="A8" t="s">
        <v>475</v>
      </c>
    </row>
    <row r="9" spans="1:2">
      <c r="A9" t="s">
        <v>476</v>
      </c>
      <c r="B9" t="s">
        <v>477</v>
      </c>
    </row>
    <row r="10" spans="1:2">
      <c r="A10" t="s">
        <v>478</v>
      </c>
      <c r="B10" t="s">
        <v>479</v>
      </c>
    </row>
    <row r="11" spans="1:2">
      <c r="A11" t="s">
        <v>480</v>
      </c>
      <c r="B11" t="s">
        <v>481</v>
      </c>
    </row>
    <row r="12" spans="1:2">
      <c r="A12" t="s">
        <v>482</v>
      </c>
      <c r="B12" t="s">
        <v>483</v>
      </c>
    </row>
    <row r="13" spans="1:2">
      <c r="A13" t="s">
        <v>466</v>
      </c>
    </row>
    <row r="14" spans="1:2">
      <c r="A14" t="s">
        <v>484</v>
      </c>
    </row>
    <row r="15" spans="1:2">
      <c r="A15" t="s">
        <v>485</v>
      </c>
      <c r="B15" t="s">
        <v>486</v>
      </c>
    </row>
    <row r="16" spans="1:2">
      <c r="A16" t="s">
        <v>487</v>
      </c>
      <c r="B16" t="s">
        <v>488</v>
      </c>
    </row>
    <row r="17" spans="1:2">
      <c r="A17" t="s">
        <v>489</v>
      </c>
      <c r="B17" t="s">
        <v>490</v>
      </c>
    </row>
    <row r="18" spans="1:2">
      <c r="A18" t="s">
        <v>466</v>
      </c>
    </row>
    <row r="19" spans="1:2">
      <c r="A19" t="s">
        <v>491</v>
      </c>
    </row>
    <row r="20" spans="1:2">
      <c r="A20" t="s">
        <v>492</v>
      </c>
      <c r="B20" t="s">
        <v>493</v>
      </c>
    </row>
    <row r="21" spans="1:2">
      <c r="A21" t="s">
        <v>494</v>
      </c>
      <c r="B21" t="s">
        <v>495</v>
      </c>
    </row>
    <row r="22" spans="1:2">
      <c r="A22" t="s">
        <v>496</v>
      </c>
      <c r="B22" t="s">
        <v>497</v>
      </c>
    </row>
    <row r="23" spans="1:2">
      <c r="A23" t="s">
        <v>498</v>
      </c>
      <c r="B23" t="s">
        <v>499</v>
      </c>
    </row>
    <row r="24" spans="1:2">
      <c r="A24" t="s">
        <v>466</v>
      </c>
    </row>
    <row r="25" spans="1:2">
      <c r="A25" t="s">
        <v>500</v>
      </c>
    </row>
    <row r="26" spans="1:2">
      <c r="A26" t="s">
        <v>501</v>
      </c>
      <c r="B26" t="s">
        <v>502</v>
      </c>
    </row>
    <row r="27" spans="1:2">
      <c r="A27" t="s">
        <v>503</v>
      </c>
      <c r="B27" t="s">
        <v>504</v>
      </c>
    </row>
    <row r="28" spans="1:2">
      <c r="A28" t="s">
        <v>505</v>
      </c>
      <c r="B28" t="s">
        <v>506</v>
      </c>
    </row>
    <row r="29" spans="1:2">
      <c r="A29" t="s">
        <v>466</v>
      </c>
    </row>
    <row r="30" spans="1:2">
      <c r="A30" t="s">
        <v>507</v>
      </c>
    </row>
    <row r="31" spans="1:2">
      <c r="A31" t="s">
        <v>508</v>
      </c>
      <c r="B31" t="s">
        <v>509</v>
      </c>
    </row>
    <row r="32" spans="1:2">
      <c r="A32" t="s">
        <v>510</v>
      </c>
      <c r="B32" t="s">
        <v>511</v>
      </c>
    </row>
    <row r="33" spans="1:2">
      <c r="A33" t="s">
        <v>512</v>
      </c>
      <c r="B33" t="s">
        <v>513</v>
      </c>
    </row>
    <row r="34" spans="1:2">
      <c r="A34" t="s">
        <v>514</v>
      </c>
      <c r="B34" t="s">
        <v>515</v>
      </c>
    </row>
    <row r="35" spans="1:2">
      <c r="A35" t="s">
        <v>516</v>
      </c>
      <c r="B35" t="s">
        <v>517</v>
      </c>
    </row>
    <row r="36" spans="1:2">
      <c r="A36" t="s">
        <v>518</v>
      </c>
      <c r="B36" t="s">
        <v>519</v>
      </c>
    </row>
  </sheetData>
  <pageMargins left="0" right="0" top="0" bottom="0" header="0" footer="0"/>
  <ignoredErrors>
    <ignoredError sqref="A1: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5"/>
  <sheetViews>
    <sheetView topLeftCell="C1" workbookViewId="0">
      <selection activeCell="A7" sqref="A7"/>
    </sheetView>
  </sheetViews>
  <sheetFormatPr defaultRowHeight="15.75"/>
  <cols>
    <col min="1" max="1" width="16.125" customWidth="1"/>
    <col min="2" max="2" width="12.75" customWidth="1"/>
    <col min="3" max="3" width="20.25" customWidth="1"/>
    <col min="4" max="4" width="17.5" customWidth="1"/>
    <col min="5" max="5" width="20" customWidth="1"/>
    <col min="6" max="6" width="13.25" customWidth="1"/>
    <col min="7" max="7" width="24.75" customWidth="1"/>
    <col min="8" max="8" width="16" customWidth="1"/>
    <col min="9" max="9" width="19.875" customWidth="1"/>
    <col min="11" max="11" width="22.5" customWidth="1"/>
  </cols>
  <sheetData>
    <row r="1" spans="1:11">
      <c r="A1" t="s">
        <v>520</v>
      </c>
      <c r="B1" t="s">
        <v>521</v>
      </c>
      <c r="C1" t="s">
        <v>522</v>
      </c>
      <c r="D1" t="s">
        <v>523</v>
      </c>
      <c r="E1" t="s">
        <v>524</v>
      </c>
      <c r="F1" t="s">
        <v>525</v>
      </c>
      <c r="G1" t="s">
        <v>526</v>
      </c>
      <c r="H1" t="s">
        <v>527</v>
      </c>
      <c r="I1" t="s">
        <v>528</v>
      </c>
      <c r="J1" t="s">
        <v>529</v>
      </c>
      <c r="K1" t="s">
        <v>530</v>
      </c>
    </row>
    <row r="2" spans="1:11">
      <c r="A2" t="s">
        <v>531</v>
      </c>
      <c r="B2" t="s">
        <v>532</v>
      </c>
      <c r="C2" t="s">
        <v>228</v>
      </c>
      <c r="D2" t="s">
        <v>533</v>
      </c>
      <c r="E2" t="s">
        <v>534</v>
      </c>
      <c r="F2" t="s">
        <v>535</v>
      </c>
      <c r="G2" t="s">
        <v>536</v>
      </c>
      <c r="H2" t="s">
        <v>535</v>
      </c>
      <c r="I2" t="s">
        <v>537</v>
      </c>
      <c r="J2" t="s">
        <v>538</v>
      </c>
      <c r="K2" t="s">
        <v>61</v>
      </c>
    </row>
    <row r="3" spans="1:11">
      <c r="A3" t="s">
        <v>539</v>
      </c>
      <c r="B3" t="s">
        <v>540</v>
      </c>
      <c r="C3" t="s">
        <v>125</v>
      </c>
      <c r="D3" t="s">
        <v>541</v>
      </c>
      <c r="E3" t="s">
        <v>542</v>
      </c>
      <c r="F3" t="s">
        <v>543</v>
      </c>
      <c r="G3" t="s">
        <v>544</v>
      </c>
      <c r="H3" t="s">
        <v>545</v>
      </c>
      <c r="I3" t="s">
        <v>546</v>
      </c>
      <c r="J3" t="s">
        <v>547</v>
      </c>
      <c r="K3" t="s">
        <v>548</v>
      </c>
    </row>
    <row r="4" spans="1:11">
      <c r="A4" t="s">
        <v>549</v>
      </c>
      <c r="B4" t="s">
        <v>550</v>
      </c>
      <c r="C4" t="s">
        <v>551</v>
      </c>
      <c r="D4" t="s">
        <v>552</v>
      </c>
      <c r="E4" t="s">
        <v>553</v>
      </c>
      <c r="F4" t="s">
        <v>554</v>
      </c>
      <c r="G4" t="s">
        <v>555</v>
      </c>
      <c r="H4" t="s">
        <v>556</v>
      </c>
      <c r="I4" t="s">
        <v>557</v>
      </c>
      <c r="J4" t="s">
        <v>558</v>
      </c>
      <c r="K4" t="s">
        <v>559</v>
      </c>
    </row>
    <row r="5" spans="1:11">
      <c r="A5" t="s">
        <v>560</v>
      </c>
      <c r="B5" t="s">
        <v>561</v>
      </c>
      <c r="C5" t="s">
        <v>56</v>
      </c>
      <c r="D5" t="s">
        <v>562</v>
      </c>
      <c r="E5" t="s">
        <v>563</v>
      </c>
      <c r="F5" t="s">
        <v>564</v>
      </c>
      <c r="G5" t="s">
        <v>565</v>
      </c>
      <c r="H5" t="s">
        <v>564</v>
      </c>
      <c r="I5" t="s">
        <v>566</v>
      </c>
      <c r="J5" t="s">
        <v>567</v>
      </c>
      <c r="K5" t="s">
        <v>568</v>
      </c>
    </row>
    <row r="6" spans="1:11">
      <c r="A6" t="s">
        <v>569</v>
      </c>
      <c r="B6" t="s">
        <v>570</v>
      </c>
      <c r="C6" t="s">
        <v>571</v>
      </c>
      <c r="D6" t="s">
        <v>572</v>
      </c>
      <c r="E6" t="s">
        <v>573</v>
      </c>
      <c r="F6" t="s">
        <v>466</v>
      </c>
      <c r="G6" t="s">
        <v>466</v>
      </c>
      <c r="H6" t="s">
        <v>466</v>
      </c>
      <c r="I6" t="s">
        <v>466</v>
      </c>
      <c r="J6" t="s">
        <v>574</v>
      </c>
      <c r="K6" t="s">
        <v>575</v>
      </c>
    </row>
    <row r="7" spans="1:11">
      <c r="A7" t="s">
        <v>466</v>
      </c>
      <c r="B7" t="s">
        <v>576</v>
      </c>
      <c r="C7" t="s">
        <v>577</v>
      </c>
      <c r="D7" t="s">
        <v>578</v>
      </c>
      <c r="E7" t="s">
        <v>466</v>
      </c>
      <c r="F7" t="s">
        <v>466</v>
      </c>
      <c r="G7" t="s">
        <v>466</v>
      </c>
      <c r="H7" t="s">
        <v>466</v>
      </c>
      <c r="I7" t="s">
        <v>466</v>
      </c>
      <c r="J7" t="s">
        <v>579</v>
      </c>
      <c r="K7" t="s">
        <v>466</v>
      </c>
    </row>
    <row r="8" spans="1:11">
      <c r="A8" t="s">
        <v>466</v>
      </c>
      <c r="B8" t="s">
        <v>580</v>
      </c>
      <c r="C8" t="s">
        <v>581</v>
      </c>
      <c r="D8" t="s">
        <v>582</v>
      </c>
      <c r="E8" t="s">
        <v>466</v>
      </c>
      <c r="F8" t="s">
        <v>466</v>
      </c>
      <c r="G8" t="s">
        <v>466</v>
      </c>
      <c r="H8" t="s">
        <v>466</v>
      </c>
      <c r="I8" t="s">
        <v>466</v>
      </c>
      <c r="J8" t="s">
        <v>583</v>
      </c>
      <c r="K8" t="s">
        <v>466</v>
      </c>
    </row>
    <row r="9" spans="1:11">
      <c r="A9" t="s">
        <v>466</v>
      </c>
      <c r="B9" t="s">
        <v>584</v>
      </c>
      <c r="C9" t="s">
        <v>585</v>
      </c>
      <c r="D9" t="s">
        <v>584</v>
      </c>
      <c r="E9" t="s">
        <v>466</v>
      </c>
      <c r="F9" t="s">
        <v>466</v>
      </c>
      <c r="G9" t="s">
        <v>466</v>
      </c>
      <c r="H9" t="s">
        <v>466</v>
      </c>
      <c r="I9" t="s">
        <v>466</v>
      </c>
      <c r="J9" t="s">
        <v>586</v>
      </c>
      <c r="K9" t="s">
        <v>466</v>
      </c>
    </row>
    <row r="10" spans="1:11">
      <c r="A10" t="s">
        <v>466</v>
      </c>
      <c r="B10" t="s">
        <v>466</v>
      </c>
      <c r="C10" t="s">
        <v>587</v>
      </c>
      <c r="D10" t="s">
        <v>466</v>
      </c>
      <c r="E10" t="s">
        <v>466</v>
      </c>
      <c r="F10" t="s">
        <v>466</v>
      </c>
      <c r="G10" t="s">
        <v>466</v>
      </c>
      <c r="H10" t="s">
        <v>466</v>
      </c>
      <c r="I10" t="s">
        <v>466</v>
      </c>
      <c r="J10" t="s">
        <v>588</v>
      </c>
      <c r="K10" t="s">
        <v>466</v>
      </c>
    </row>
    <row r="11" spans="1:11">
      <c r="A11" t="s">
        <v>466</v>
      </c>
      <c r="B11" t="s">
        <v>466</v>
      </c>
      <c r="C11" t="s">
        <v>589</v>
      </c>
      <c r="D11" t="s">
        <v>466</v>
      </c>
      <c r="E11" t="s">
        <v>466</v>
      </c>
      <c r="F11" t="s">
        <v>466</v>
      </c>
      <c r="G11" t="s">
        <v>466</v>
      </c>
      <c r="H11" t="s">
        <v>466</v>
      </c>
      <c r="I11" t="s">
        <v>466</v>
      </c>
      <c r="J11" t="s">
        <v>590</v>
      </c>
      <c r="K11" t="s">
        <v>466</v>
      </c>
    </row>
    <row r="12" spans="1:11">
      <c r="A12" t="s">
        <v>466</v>
      </c>
      <c r="B12" t="s">
        <v>466</v>
      </c>
      <c r="C12" t="s">
        <v>584</v>
      </c>
      <c r="D12" t="s">
        <v>466</v>
      </c>
      <c r="E12" t="s">
        <v>466</v>
      </c>
      <c r="F12" t="s">
        <v>466</v>
      </c>
      <c r="G12" t="s">
        <v>466</v>
      </c>
      <c r="H12" t="s">
        <v>466</v>
      </c>
      <c r="I12" t="s">
        <v>466</v>
      </c>
      <c r="J12" t="s">
        <v>591</v>
      </c>
      <c r="K12" t="s">
        <v>466</v>
      </c>
    </row>
    <row r="13" spans="1:11">
      <c r="A13" t="s">
        <v>466</v>
      </c>
      <c r="B13" t="s">
        <v>466</v>
      </c>
      <c r="C13" t="s">
        <v>466</v>
      </c>
      <c r="D13" t="s">
        <v>466</v>
      </c>
      <c r="E13" t="s">
        <v>466</v>
      </c>
      <c r="F13" t="s">
        <v>466</v>
      </c>
      <c r="G13" t="s">
        <v>466</v>
      </c>
      <c r="H13" t="s">
        <v>466</v>
      </c>
      <c r="I13" t="s">
        <v>466</v>
      </c>
      <c r="J13" t="s">
        <v>592</v>
      </c>
      <c r="K13" t="s">
        <v>466</v>
      </c>
    </row>
    <row r="14" spans="1:11">
      <c r="A14" t="s">
        <v>466</v>
      </c>
      <c r="B14" t="s">
        <v>466</v>
      </c>
      <c r="C14" t="s">
        <v>466</v>
      </c>
      <c r="D14" t="s">
        <v>466</v>
      </c>
      <c r="E14" t="s">
        <v>466</v>
      </c>
      <c r="F14" t="s">
        <v>466</v>
      </c>
      <c r="G14" t="s">
        <v>466</v>
      </c>
      <c r="H14" t="s">
        <v>466</v>
      </c>
      <c r="I14" t="s">
        <v>466</v>
      </c>
      <c r="J14" t="s">
        <v>593</v>
      </c>
      <c r="K14" t="s">
        <v>466</v>
      </c>
    </row>
    <row r="15" spans="1:11">
      <c r="A15" t="s">
        <v>466</v>
      </c>
      <c r="B15" t="s">
        <v>466</v>
      </c>
      <c r="C15" t="s">
        <v>466</v>
      </c>
      <c r="D15" t="s">
        <v>466</v>
      </c>
      <c r="E15" t="s">
        <v>466</v>
      </c>
      <c r="F15" t="s">
        <v>466</v>
      </c>
      <c r="G15" t="s">
        <v>466</v>
      </c>
      <c r="H15" t="s">
        <v>466</v>
      </c>
      <c r="I15" t="s">
        <v>466</v>
      </c>
      <c r="J15" t="s">
        <v>594</v>
      </c>
      <c r="K15" t="s">
        <v>466</v>
      </c>
    </row>
  </sheetData>
  <pageMargins left="0" right="0" top="0" bottom="0" header="0" footer="0"/>
  <ignoredErrors>
    <ignoredError sqref="A1:K15" numberStoredAsText="1"/>
  </ignoredError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HangarUPCH</dc:creator>
  <cp:keywords/>
  <dc:description/>
  <cp:lastModifiedBy>ANDRES HIDALGO MORALES</cp:lastModifiedBy>
  <cp:revision/>
  <dcterms:created xsi:type="dcterms:W3CDTF">2025-10-01T20:26:22Z</dcterms:created>
  <dcterms:modified xsi:type="dcterms:W3CDTF">2025-10-08T15:53:17Z</dcterms:modified>
  <cp:category/>
  <cp:contentStatus/>
</cp:coreProperties>
</file>