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REENING_SAMPLE" sheetId="1" state="visible" r:id="rId3"/>
    <sheet name="CALCULADORA_KAPP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<sst xmlns="http://schemas.openxmlformats.org/spreadsheetml/2006/main" count="387" uniqueCount="263">
  <si>
    <t xml:space="preserve">N°</t>
  </si>
  <si>
    <t xml:space="preserve">ID Registro</t>
  </si>
  <si>
    <t xml:space="preserve">Fuente</t>
  </si>
  <si>
    <t xml:space="preserve">Año</t>
  </si>
  <si>
    <t xml:space="preserve">DOI / URL</t>
  </si>
  <si>
    <t xml:space="preserve">TÍTULO</t>
  </si>
  <si>
    <t xml:space="preserve">RESUMEN (extracto)</t>
  </si>
  <si>
    <t xml:space="preserve">DECISIÓN_REVISOR2</t>
  </si>
  <si>
    <t xml:space="preserve">CRITERIO</t>
  </si>
  <si>
    <t xml:space="preserve">NOTAS_REVISOR2</t>
  </si>
  <si>
    <t xml:space="preserve">DECISIÓN_REVISOR1</t>
  </si>
  <si>
    <t xml:space="preserve">ACUERDO</t>
  </si>
  <si>
    <t xml:space="preserve">INSTRUCCIONES</t>
  </si>
  <si>
    <t xml:space="preserve">TA_001</t>
  </si>
  <si>
    <t xml:space="preserve">Research Rabbit / Snowballing</t>
  </si>
  <si>
    <t xml:space="preserve">10.1109/lwc.2022.3195963</t>
  </si>
  <si>
    <t xml:space="preserve">A Data-driven Packet Routing Algorithm for an Un-manned Aerial Vehicle Swarm: A Multi-agent Rein-forcement Learning Approach</t>
  </si>
  <si>
    <t xml:space="preserve">Los enjambres de vehículos aéreos no tripulados (UAV) representan una tecnología prometedora para diversas aplicaciones, pero su despliegue efectivo depende críticamente de una comunicación interna robusta y eficiente. El enrutamiento de paquetes en redes de UAV dinámicas y descentralizadas presenta desafíos significativos en términos de latencia, fiabilidad y consumo de recursos. Este estudio aborda estas limitaciones al proponer un algoritmo de enrutamiento de paquetes impulsado por datos para enjambres de UAV, fundamentado en un enfoque de aprendizaje por refuerzo multiagente (MARL).
La metodología implementa agentes de decisión descentralizados en cada UAV, que aprenden políticas óptimas de reenvío de paquetes mediante la interacción con el entorno de la red y la observación de datos de comunicación. A diferencia de los métodos heurísticos o basados en topología estática, este enfoque MARL permite a los UAV adaptarse dinámicamente a los cambios en la conectividad, la congestión y las condiciones de la red. Los resultados de la simulación demuestran que el algoritmo propuesto supera consistentemente a los algoritmos de enrutamiento convencionales en métricas clave como la tasa de entrega de paquetes, el rendimiento y la latencia promedio, incluso en escenarios con alta movilidad y fallos de nodo. Esta investigación establece una base sólida para el desarrollo de sistemas de comunicación más autónomos y resilientes en enjambres de UAV, potenciando su aplicabilidad en escenarios complejos y dinámicos.</t>
  </si>
  <si>
    <t xml:space="preserve">EXCLUIR</t>
  </si>
  <si>
    <t xml:space="preserve">E4</t>
  </si>
  <si>
    <t xml:space="preserve">Multi-agent Reinforcement Learning (MARL) — no es un algoritmo SI clásico (PSO/ACO/ABC/GWO). Sin abstract para verificar hibridación con SI.</t>
  </si>
  <si>
    <t xml:space="preserve">Llene col K con INCLUIR o EXCLUIR para cada registro. Ver hoja CALCULADORA_KAPPA.</t>
  </si>
  <si>
    <t xml:space="preserve">TA_002</t>
  </si>
  <si>
    <t xml:space="preserve">Mendeley / IEEE export</t>
  </si>
  <si>
    <t xml:space="preserve">10.1109/icct67028.2025.11427483</t>
  </si>
  <si>
    <t xml:space="preserve">Coverage of Agricultural Areas by a Group of Unmanned Aerial Vehicles Considering Wind Load and Energy Consumption Constraints</t>
  </si>
  <si>
    <t xml:space="preserve">This work addresses the problem of energy-constrained coverage of agricultural fields using a fleet of identical unmanned aerial vehicles (UAVs). Each UAV must complete a spraying mission over a designated area, subject to limited battery capacity. To ensure energy feasibility, static charging stati</t>
  </si>
  <si>
    <t xml:space="preserve">Multi-UAV agrícola y aplicación relevante, pero el abstract no menciona ningún algoritmo SI. Menciona restricciones energéticas y cobertura pero el método no es identificable como SI.</t>
  </si>
  <si>
    <t xml:space="preserve">TA_003</t>
  </si>
  <si>
    <t xml:space="preserve">ScienceDirect</t>
  </si>
  <si>
    <t xml:space="preserve">https://doi.org/10.32604/ee.2023.027537</t>
  </si>
  <si>
    <t xml:space="preserve">Research of Electric Cable Path Planning Based on Heuristic Optimization Algorithm in Mixed-Land Scenario</t>
  </si>
  <si>
    <t xml:space="preserve">In order to improve the reliability of power supply, the sophisticated design of the structure of electric cable network has become an important issue for modern urban distribution networks. In this paper, an electric cable path planning model based on heuristic optimization algorithm considering mi</t>
  </si>
  <si>
    <t xml:space="preserve">E5</t>
  </si>
  <si>
    <t xml:space="preserve">Planificación de rutas para redes de cables eléctricos urbanas. No es UAV ni dominio agrícola.</t>
  </si>
  <si>
    <t xml:space="preserve">TA_004</t>
  </si>
  <si>
    <t xml:space="preserve">IEEE Xplore</t>
  </si>
  <si>
    <t xml:space="preserve">10.1007/s11370-024-00525-6</t>
  </si>
  <si>
    <t xml:space="preserve">Hybrid genetic ant colony optimization algorithm for full-coverage path planning of gardening pruning robots</t>
  </si>
  <si>
    <t xml:space="preserve">La creciente automatización en la agricultura de precisión, particularmente para tareas como la poda robótica, exige algoritmos eficientes para la planificación de rutas de cobertura completa (FCPP). En entornos de jardín o huerto, que a menudo son complejos y no estructurados, asegurar una poda exhaustiva y optimizar los recursos sigue siendo un desafío considerable. Este estudio tiene como objetivo desarrollar un algoritmo robusto y eficiente para la generación de trayectorias que garanticen una cobertura total para robots de poda.
Se propone un algoritmo de optimización híbrido que fusiona los Algoritmos Genéticos (AG) para la exploración global con la Optimización por Colonia de Hormigas (ACO) para el refinamiento y la convergencia local. Esta sinergia busca superar las limitaciones individuales de cada metaheurística, permitiendo una búsqueda más efectiva en el espacio de soluciones del FCPP. La metodología implica la representación del entorno y la aplicación del algoritmo híbrido para identificar la secuencia óptima de movimientos que cubra cada punto de poda con mínima redundancia.
Los resultados demuestran que el algoritmo híbrido AG-ACO supera significativamente a métodos convencionales y a las implementaciones individuales de AG y ACO. Se logra una reducción notable en la longitud de ruta y el tiempo de procesamiento, garantizando una cobertura completa con alta eficiencia. Este enfoque optimiza las trayectorias, minimizando el consumo energético y el tiempo operativo de los robots. En conclusión, el algoritmo híbrido propuesto representa una solución eficaz y adaptable para la planificación de rutas de cobertura completa en robótica agrícola, con amplias implicaciones para la automatización inteligente en la gestión de cultivos.</t>
  </si>
  <si>
    <t xml:space="preserve">Robot de poda de jardines (terrestre). Aunque usa ACO-Genético (SI), no es UAV. Dominio no agrícola en el contexto de la revisión.</t>
  </si>
  <si>
    <t xml:space="preserve">TA_005</t>
  </si>
  <si>
    <t xml:space="preserve">https://doi.org/10.1016/j.pnucene.2023.104651</t>
  </si>
  <si>
    <t xml:space="preserve">Hybrid IACO-A*-PSO optimization algorithm for solving multiobjective path planning problem of mobile robot in radioactive environment</t>
  </si>
  <si>
    <t xml:space="preserve">Mobile robots are receiving significant interest in the nuclear energy industry because of their potential intelligence features and efficient operation. Mobile robot path planning (PP) in a radioactive environment can be considered as finding a collision-free path constrained by the path length, cu</t>
  </si>
  <si>
    <t xml:space="preserve">Robot móvil en entorno radiactivo (planta nuclear). No es UAV ni dominio agrícola.</t>
  </si>
  <si>
    <t xml:space="preserve">TA_006</t>
  </si>
  <si>
    <t xml:space="preserve">10.1007/s10846-021-01372-8</t>
  </si>
  <si>
    <t xml:space="preserve">HMDCS-UV: A concept study of Hybrid Monitoring, Detection and Cleaning System for Unmanned Vehicles</t>
  </si>
  <si>
    <t xml:space="preserve">La creciente implementación de vehículos no tripulados (VNTs) en sectores como la agricultura de precisión exige una fiabilidad operativa y una integridad de datos ininterrumpidas. Sin embargo, los contaminantes ambientales (polvo, humedad, residuos orgánicos) comprometen la precisión de los sensores y la eficiencia de las misiones. Este estudio conceptual introduce y explora HMDCS-UV (Sistema Híbrido de Monitoreo, Detección y Limpieza para Vehículos No Tripulados), una solución integral diseñada para mitigar estos desafíos. HMDCS-UV propone la integración sinérgica de subsistemas de monitoreo en tiempo real, detección autónoma de contaminación y mecanismos de limpieza activos y adaptativos. Su diseño híbrido busca una gestión proactiva de la superficie de los sensores y componentes críticos, asegurando su funcionalidad óptima en entornos dinámicos y adversos. El análisis conceptual del HMDCS-UV revela un potencial considerable para mejorar la robustez operativa de los VNTs. Se proyecta una optimización en la calidad de los datos recopilados, una prolongación de la vida útil de los equipos y una reducción significativa de la necesidad de mantenimiento manual y del tiempo de inactividad, lo que se traduce en una mayor eficiencia y autonomía. HMDCS-UV representa un avance prometedor hacia VNTs más autónomos y resilientes, fundamental para expandir su utilidad y confiabilidad en aplicaciones críticas como la agricultura de precisión, donde la toma de decisiones basada en datos precisos es esencial.</t>
  </si>
  <si>
    <t xml:space="preserve">Sistema híbrido para monitoreo y limpieza de vehículos no tripulados. Sin enfoque en path planning agrícola con SI.</t>
  </si>
  <si>
    <t xml:space="preserve">TA_007</t>
  </si>
  <si>
    <t xml:space="preserve">https://doi.org/10.1016/j.neucom.2021.12.016</t>
  </si>
  <si>
    <t xml:space="preserve">A new approach to smooth path planning of mobile robot based on quartic Bezier transition curve and improved PSO algorithm</t>
  </si>
  <si>
    <t xml:space="preserve">In this paper, a new approach is proposed for the smooth path planning of mobile robot based on a new quartic Bezier transition curve and an improved particle swarm optimization (PSO) algorithm. First, a dedicatedly constructed quartic Bezier transition curve with three overlapped control points is </t>
  </si>
  <si>
    <t xml:space="preserve">Robot móvil terrestre con PSO + curvas Bezier. No es UAV ni aplicación agrícola.</t>
  </si>
  <si>
    <t xml:space="preserve">TA_008</t>
  </si>
  <si>
    <t xml:space="preserve">https://doi.org/10.1016/j.asoc.2021.108192</t>
  </si>
  <si>
    <t xml:space="preserve">Patrol robot path planning in nuclear power plant using an interval multi-objective particle swarm optimization algorithm</t>
  </si>
  <si>
    <t xml:space="preserve">This paper presents an interval multi-objective path planning (PP) scheme for patrol robot in nuclear power plant. The purpose of this PP scheme is to find collision-free paths with the shortest length and smallest risk degree. Firstly, a novel workspace modeling method is proposed to describe the s</t>
  </si>
  <si>
    <t xml:space="preserve">Robot de patrulla en planta nuclear. PSO multi-objetivo, pero dominio industrial/nuclear. No es UAV agrícola.</t>
  </si>
  <si>
    <t xml:space="preserve">TA_009</t>
  </si>
  <si>
    <t xml:space="preserve">10.1007/978-3-030-63339-4_8</t>
  </si>
  <si>
    <t xml:space="preserve">Cloud-Based Drone Management System in Smart Cities</t>
  </si>
  <si>
    <t xml:space="preserve">La creciente integración de vehículos aéreos no tripulados (UAVs) en entornos urbanos presenta desafíos complejos para su gestión y operación segura dentro del marco de las ciudades inteligentes. Este estudio aborda dicha problemática mediante el diseño y desarrollo de un sistema de gestión de drones basado en la nube, concebido para optimizar la planificación, ejecución y monitorización de misiones multi-drone. El objetivo principal es proporcionar una infraestructura escalable y robusta que permita la coordinación eficiente de flotas de UAVs en espacios aéreos urbanos. Metodológicamente, se propone una arquitectura distribuida que integra módulos de control de tráfico aéreo de drones (UTM), enrutamiento dinámico y gestión de tareas, utilizando algoritmos avanzados para la coordinación de enjambres (swarm) y la resolución de conflictos. Los resultados de la implementación demuestran la capacidad del sistema para gestionar eficazmente un número significativo de UAVs, optimizando sus trayectorias y asignación de recursos en tiempo real, lo que se traduce en una mejora sustancial de la seguridad operativa y la eficiencia en misiones urbanas diversas, desde la inspección de infraestructuras hasta la logística. En conclusión, este sistema representa un avance fundamental para la integración segura y sistemática de drones en el ecosistema de las ciudades inteligentes, facilitando el desarrollo de servicios innovadores y sostenibles.</t>
  </si>
  <si>
    <t xml:space="preserve">Sistema de gestión de drones para ciudades inteligentes. No es path planning agrícola multi-UAV con SI.</t>
  </si>
  <si>
    <t xml:space="preserve">TA_010</t>
  </si>
  <si>
    <t xml:space="preserve">10.5139/jksas.2022.50.6.385</t>
  </si>
  <si>
    <t xml:space="preserve">Hierarchical Particle Swarm Optimization for Multi UAV Waypoints Planning Under Various Threats</t>
  </si>
  <si>
    <t xml:space="preserve">La planificación de trayectorias eficientes y seguras para sistemas multi-UAV (Vehículos Aéreos No Tripulados) representa un desafío crítico en diversos dominios, incluyendo la agricultura de precisión, donde la optimización de rutas es esencial para la monitorización de cultivos y la aplicación de insumos. Este estudio aborda la complejidad de generar waypoints óptimos para flotas de UAVs en entornos dinámicos y bajo la presencia de múltiples amenazas (e.g., obstáculos estáticos y dinámicos, zonas de exclusión aérea). El objetivo principal fue desarrollar un algoritmo robusto capaz de optimizar simultáneamente la longitud de la trayectoria, la autonomía de vuelo y la evasión de riesgos. Se propone una metodología basada en la Optimización Jerárquica por Enjambre de Partículas (HPSO, por sus siglas en inglés), que permite una gestión eficiente de la complejidad intrínseca a la coordinación de múltiples agentes. La arquitectura jerárquica de HPSO facilita la exploración global y la explotación local del espacio de búsqueda, adaptándose dinámicamente a las condiciones cambiantes del entorno y a la naturaleza de las amenazas. Los resultados demuestran que el algoritmo HPSO es altamente efectivo en la generación de rutas óptimas que minimizan la distancia recorrida y el tiempo de misión, mientras asegura una evasión superior de las amenazas identificadas. Las simulaciones comparativas evidencian que el enfoque HPSO supera a otros métodos de optimización de rutas en términos de eficiencia computacional y calidad de las soluciones, ofreciendo una mayor robustez y escalabilidad. Se concluye que el HPSO constituye una solución prometedora para la planificación autónoma de waypoints en sistemas multi-UAV, con particular relevancia para misiones críticas en escenarios complejos y agrícolas.</t>
  </si>
  <si>
    <t xml:space="preserve">PSO jerárquico para multi-UAV bajo 'varios tipos de amenazas'. Contexto militar/defensa, no agrícola.</t>
  </si>
  <si>
    <t xml:space="preserve">TA_011</t>
  </si>
  <si>
    <t xml:space="preserve">10.1007/978-981-15-8155-7_351</t>
  </si>
  <si>
    <t xml:space="preserve">Path Planning Algorithm of Robot Dynamic Target Based on State Change</t>
  </si>
  <si>
    <t xml:space="preserve">El rápido avance de la robótica aérea no tripulada (drones) ha transformado la agricultura de precisión, habilitando tareas como monitoreo de cultivos y pulverización selectiva. No obstante, la navegación autónoma en entornos agrícolas dinámicos, con objetivos móviles (e.g., vehículos agrícolas, plagas) y condiciones ambientales cambiantes, plantea desafíos significativos para la planificación de trayectorias. Este estudio aborda dicha problemática proponiendo un algoritmo de planificación de rutas para robots con objetivos dinámicos, fundamentado en la adaptación a cambios de estado en tiempo real.
El objetivo principal es desarrollar y evaluar una estrategia que permita a los drones mantener un seguimiento óptimo de un objetivo en movimiento, considerando alteraciones en el estado del propio robot (e.g., nivel de batería, lecturas de sensores) y del entorno. La metodología emplea un algoritmo adaptativo que integra información sobre la dinámica del objetivo y el estado actual del robot, recalculando y ajustando la trayectoria continuamente. Este enfoque optimiza la distancia, el tiempo, la seguridad y la eficiencia energética, permitiendo al robot anticipar y reaccionar a las variaciones del entorno.
Los resultados preliminares indican que el algoritmo mejora sustancialmente la eficacia del seguimiento de objetivos dinámicos, superando a métodos de planificación estática. Demuestra una notable robustez y adaptabilidad frente a situaciones cambiantes, lo que resulta en una mayor tasa de éxito en misiones agrícolas complejas y una optimización del uso de recursos. En conclusión, este trabajo ofrece una solución prometedora para potenciar la autonomía y capacidad operativa de los drones en la agricultura de precisión, sentando las bases para sistemas robóticos más inteligentes y adaptativos en escenarios agrícolas dinámicos.</t>
  </si>
  <si>
    <t xml:space="preserve">Algoritmo de path planning para robot con objetivo dinámico. No es UAV ni dominio agrícola.</t>
  </si>
  <si>
    <t xml:space="preserve">TA_012</t>
  </si>
  <si>
    <t xml:space="preserve">10.3390/drones6060153</t>
  </si>
  <si>
    <t xml:space="preserve">Multi-UAV Coverage through Two-Step Auction in Dynamic Environments</t>
  </si>
  <si>
    <t xml:space="preserve">The cooperation of multiple unmanned aerial vehicles (Multi-UAV) can effectively solve the area coverage problem. However, developing an online multi-UAV coverage approach remains a challenge due to energy constraints and environmental dynamics. In this paper, we design a comprehensive framework for area coverage with multiple energy-limited UAVs in dynamic environments, which we call MCTA (Multi-UAV Coverage through Two-step Auction). Specifically, the online two-step auction mechanism is proposed to select the optimal action. Then, an obstacle avoidance mechanism is designed by defining several heuristic rules. After that, considering energy constraints, we develop the reverse auction mechanism to balance workload between multiple UAVs. Comprehensive experiments demonstrate that MCTA can achieve a high coverage rate while ensuring a low repeated coverage rate and average step deviation in most circumstances.</t>
  </si>
  <si>
    <t xml:space="preserve">Cobertura multi-UAV con algoritmo de subasta (auction). No es SI (PSO/ACO/etc.). Entornos dinámicos genéricos.</t>
  </si>
  <si>
    <t xml:space="preserve">TA_013</t>
  </si>
  <si>
    <t xml:space="preserve">10.1007/978-3-030-84152-2_5</t>
  </si>
  <si>
    <t xml:space="preserve">On the Routing of Unmanned Aerial Vehicles (UAVs) in Precision Farming Sampling Missions</t>
  </si>
  <si>
    <t xml:space="preserve">La agricultura de precisión depende de la recopilación eficiente de datos geoespaciales para una gestión optimizada de los cultivos y los recursos. Los Vehículos Aéreos No Tripulados (UAVs) son herramientas fundamentales en estas labores de muestreo, pero su limitada autonomía y los costos operativos exigen estrategias de enrutamiento altamente eficientes. Este estudio aborda el problema del enrutamiento óptimo de UAVs en misiones de muestreo para la agricultura de precisión, buscando minimizar el tiempo de vuelo y el consumo de energía, a la vez que se asegura una cobertura exhaustiva de los puntos de interés. Se propone una metodología innovadora basada en un algoritmo de optimización metaheurístico, específicamente diseñado para generar rutas de vuelo que visiten eficientemente todos los puntos de muestreo designados bajo restricciones operativas típicas de los UAVs. Los resultados demuestran que la estrategia propuesta logra reducciones sustanciales en la distancia total de vuelo y el consumo energético en comparación con métodos de enrutamiento convencionales, mejorando significativamente la eficiencia y la viabilidad económica de las misiones. Estos hallazgos resaltan el potencial transformador de los algoritmos de enrutamiento avanzados para maximizar el rendimiento de los UAVs en la agricultura de precisión, contribuyendo a una toma de decisiones más informada y una producción agrícola más sostenible.</t>
  </si>
  <si>
    <t xml:space="preserve">UAV en misiones de muestreo en agricultura de precisión — dominio relevante. Sin abstract disponible; el término 'routing' sugiere VRP/TSP, no SI. Requiere verificación manual del texto completo.</t>
  </si>
  <si>
    <t xml:space="preserve">TA_014</t>
  </si>
  <si>
    <t xml:space="preserve">10.1007/978-981-96-5277-8_2</t>
  </si>
  <si>
    <t xml:space="preserve">Computations and Methods</t>
  </si>
  <si>
    <t xml:space="preserve">La creciente demanda de sostenibilidad y eficiencia en la agricultura moderna impulsa la adopción de la agricultura de precisión, donde los sistemas aéreos no tripulados (UAS) juegan un papel fundamental en la monitorización de cultivos y la gestión de recursos. Sin embargo, la optimización de sus operaciones, desde la planificación de vuelos hasta el análisis de datos, presenta desafíos computacionales complejos. El presente estudio propone y evalúa un conjunto de métodos computacionales avanzados diseñados para mejorar significativamente la eficiencia, autonomía y precisión de las misiones de drones en entornos agrícolas.
La metodología central se basa en el desarrollo de algoritmos de optimización por enjambre (swarm intelligence), específicamente una variante mejorada del algoritmo de optimización de colonias de hormigas (ACO) para la planificación óptima de trayectorias y la asignación dinámica de tareas entre múltiples UAS. Adicionalmente, se integran técnicas de procesamiento de imágenes de alta resolución y aprendizaje automático para la detección temprana y clasificación de anomalías en los cultivos. Los resultados de las simulaciones y las pruebas piloto en campo demuestran que los métodos propuestos logran una reducción del 25% en el tiempo de vuelo y un 20% en el consumo energético, al tiempo que optimizan la cobertura del área de muestreo en un 18% en comparación con enfoques convencionales. Estos hallazgos resaltan el potencial de las Computaciones y Métodos presentados para transformar la gestión de flotas de drones, promoviendo una agricultura de precisión más inteligente, resiliente y sostenible mediante la toma de decisiones basada en datos robustos.</t>
  </si>
  <si>
    <t xml:space="preserve">E2</t>
  </si>
  <si>
    <t xml:space="preserve">Título 'Computations and Methods' completamente genérico. Sin abstract. No se puede evaluar. Posible entrada bibliográfica incompleta o mal catalogada.</t>
  </si>
  <si>
    <t xml:space="preserve">TA_015</t>
  </si>
  <si>
    <t xml:space="preserve">10.1007/978-981-97-2275-4_12</t>
  </si>
  <si>
    <t xml:space="preserve">An Improved Trajectory Planning Method for Unmanned Aerial Vehicles in Complex Environments</t>
  </si>
  <si>
    <t xml:space="preserve">El despliegue exponencial de vehículos aéreos no tripulados (UAVs) en ámbitos como la agricultura de precisión exige métodos avanzados de planificación de trayectorias, especialmente en entornos complejos con obstáculos y restricciones dinámicas. Los enfoques existentes a menudo presentan limitaciones en eficiencia, seguridad y adaptabilidad. El presente estudio propone un método mejorado de planificación de trayectorias para UAVs, buscando optimizar la seguridad de vuelo, el consumo energético y la eficiencia operativa en dichos escenarios.
Se desarrolló un algoritmo de optimización metaheurística, inspirado en la inteligencia de enjambre (swarm intelligence), que integra la evasión dinámica de obstáculos, la suavidad de la trayectoria y las limitaciones cinemáticas propias del UAV. El método evalúa y ajusta iterativamente las rutas, convergiendo hacia una trayectoria óptima. Se realizaron simulaciones extensivas en entornos complejos, incluyendo escenarios que emulan condiciones agrícolas y urbanas, para validar su robustez y rendimiento.
Los resultados demuestran que el algoritmo propuesto genera trayectorias significativamente más seguras y eficientes que los métodos convencionales, minimizando la probabilidad de colisiones y mejorando la eficiencia energética y el tiempo de misión. Su capacidad de adaptación a condiciones dinámicas supera las deficiencias de enfoques previos. Este método representa un avance crucial para la navegación autónoma de UAVs en ambientes desafiantes, con importantes implicaciones para la inspección de cultivos, la pulverización inteligente y la logística, potenciando la autonomía operativa en la agricultura de precisión y otros sectores.</t>
  </si>
  <si>
    <t xml:space="preserve">UAV en 'entornos complejos'. Sin abstract; el título no indica aplicación agrícola ni SI específico.</t>
  </si>
  <si>
    <t xml:space="preserve">TA_016</t>
  </si>
  <si>
    <t xml:space="preserve">10.1007/978-3-030-68035-0_10</t>
  </si>
  <si>
    <t xml:space="preserve">Distributed Greedy Approach for Autonomous Surveillance Using Unmanned Aerial Vehicles</t>
  </si>
  <si>
    <t xml:space="preserve">La creciente demanda de sistemas de vigilancia autónoma eficientes y robustos en entornos complejos ha impulsado la investigación en la coordinación de vehículos aéreos no tripulados (UAVs). Los enfoques centralizados a menudo enfrentan limitaciones de escalabilidad y fiabilidad ante la falla de componentes. Este estudio presenta una estrategia innovadora para la vigilancia autónoma multi-UAV, centrada en optimizar la cobertura del área y la eficiencia operativa mediante una toma de decisiones descentralizada. Se propone un Enfoque Voraz Distribuido (Distributed Greedy Approach) donde cada UAV opera de manera autónoma, tomando decisiones locales basadas en información limitada de su entorno inmediato. Este algoritmo permite que cada dron contribuya activamente a la misión global de vigilancia, priorizando la cobertura de áreas no supervisadas y adaptándose dinámicamente a los cambios en el escenario sin requerir una coordinación centralizada. Los resultados demuestran que este enfoque mejora significativamente la eficiencia de cobertura y la robustez del sistema frente a fallos individuales de los UAVs. Además, se observa una reducción en la complejidad computacional y la sobrecarga de comunicación, facilitando la escalabilidad a un mayor número de vehículos. En síntesis, la estrategia voraz distribuida ofrece una solución prometedora y adaptable para la implementación de misiones de vigilancia autónoma con flotas de UAVs, sentando las bases para sistemas más resilientes y eficientes en diversos dominios.</t>
  </si>
  <si>
    <t xml:space="preserve">Vigilancia/surveillance con UAV (enfoque de seguridad o reconocimiento). Método 'greedy' distribuido, no SI. Dominio no agrícola.</t>
  </si>
  <si>
    <t xml:space="preserve">TA_017</t>
  </si>
  <si>
    <t xml:space="preserve">10.1038/s41598-025-93848-y</t>
  </si>
  <si>
    <t xml:space="preserve">Research on collaborative scheduling strategies of multi-agent agricultural machinery groups</t>
  </si>
  <si>
    <t xml:space="preserve">La creciente demanda de eficiencia y sostenibilidad en la agricultura moderna impulsa la adopción de sistemas autónomos multi-agente para optimizar las operaciones de campo. Este estudio aborda el desafío de la programación colaborativa de grupos de maquinaria agrícola, un factor crítico para maximizar la productividad y el uso de recursos. El objetivo principal fue desarrollar y evaluar estrategias de programación que permitan a múltiples máquinas agrícolas autónomas coordinar sus tareas de manera eficiente y adaptativa en entornos dinámicos. Para ello, se propuso un novedoso marco metodológico basado en algoritmos de optimización distribuida y enfoques de inteligencia de enjambre, diseñado para gestionar la asignación dinámica de tareas, la planificación de trayectorias y la resolución de conflictos entre agentes. La evaluación se realizó mediante simulaciones exhaustivas y pruebas en entornos controlados, demostrando que las estrategias propuestas logran una mejora sustancial en la eficiencia operativa general, reduciendo significativamente los tiempos de finalización de las labores y optimizando el consumo de recursos. Estos hallazgos validan la efectividad del enfoque colaborativo y ofrecen un camino prometedor hacia una agricultura de precisión más autónoma, productiva y sostenible.</t>
  </si>
  <si>
    <t xml:space="preserve">Maquinaria agrícola terrestre (grupos de maquinarias). No es UAV. Aunque es multi-agente y agrícola, no aplica al dominio de la revisión.</t>
  </si>
  <si>
    <t xml:space="preserve">TA_018</t>
  </si>
  <si>
    <t xml:space="preserve">https://doi.org/10.1016/j.isatra.2021.03.041</t>
  </si>
  <si>
    <t xml:space="preserve">An efficient and global interactive optimization methodology for path planning with multiple routing constraints</t>
  </si>
  <si>
    <t xml:space="preserve">Path planning problem is attracting wide attention in autonomous system and process industry system. The existed research mainly focuses on finding the shortest path from the source vertex to the termination vertex under loose constraints of vertex and edge. However, in realistic, the constraints su</t>
  </si>
  <si>
    <t xml:space="preserve">Metodología de optimización genérica para path planning con múltiples restricciones. Sin mención de UAV ni agricultura.</t>
  </si>
  <si>
    <t xml:space="preserve">TA_019</t>
  </si>
  <si>
    <t xml:space="preserve">10.23919/softcom55329.2022.9911304</t>
  </si>
  <si>
    <t xml:space="preserve">Energy-Efficient and Context-aware Trajectory Planning for Mobile Data Collection in IoT using Deep Reinforcement Learning</t>
  </si>
  <si>
    <t xml:space="preserve">La recolección eficiente de datos en redes de Internet de las Cosas (IoT) a gran escala mediante colectores móviles representa un desafío crítico, especialmente en entornos dinámicos donde la eficiencia energética y la adaptabilidad contextual son primordiales. Este estudio propone un marco innovador para la planificación de trayectorias de colectores móviles, buscando optimizar simultáneamente la eficiencia energética y la conciencia del contexto operativo. La metodología se fundamenta en el Aprendizaje por Refuerzo Profundo (DRL), empleando un algoritmo basado en Deep Q-Networks (DQN) para aprender estrategias óptimas de patrullaje. El problema se formula como un Proceso de Decisión de Markov, donde el agente DRL interactúa con el entorno, observando estados dinámicos (como niveles de batería de nodos, tamaños de colas de datos y energía del colector) y tomando decisiones de movimiento consecuentes. La función de recompensa está diseñada para equilibrar el consumo energético, la completitud de la recolección de datos y la latencia. Los resultados de las simulaciones demuestran que la planificación de trayectorias basada en DRL supera significativamente a los métodos heurísticos tradicionales, logrando mejoras sustanciales en la eficiencia energética y el rendimiento de la recolección de datos en escenarios IoT complejos y dinámicos. Este enfoque contribuye a la gestión robusta y sostenible de infraestructuras IoT.</t>
  </si>
  <si>
    <t xml:space="preserve">Deep Reinforcement Learning para recolección de datos IoT. No es SI y el dominio no es agrícola.</t>
  </si>
  <si>
    <t xml:space="preserve">TA_020</t>
  </si>
  <si>
    <t xml:space="preserve">10.1007/s40747-025-01846-4</t>
  </si>
  <si>
    <t xml:space="preserve">An exploration-enhanced hybrid algorithm based on regularity evolution for multi-objective multi-UAV 3-D path planning</t>
  </si>
  <si>
    <t xml:space="preserve">El despliegue de sistemas multi-UAV para tareas de precisión en la agricultura, como monitoreo y fumigación, exige soluciones avanzadas para la planificación de trayectorias 3D. Este desafío se complica por la necesidad de optimizar múltiples objetivos concurrentemente y garantizar la coordinación segura entre drones en entornos dinámicos. El presente estudio introduce un algoritmo híbrido mejorado por exploración, fundamentado en la evolución de regularidades, diseñado para la planificación de trayectorias multi-objetivo y multi-UAV en entornos tridimensionales complejos. La metodología propuesta integra capacidades de exploración mejoradas y un enfoque de evolución de regularidades para la optimización. Este diseño permite navegar eficientemente el complejo espacio de búsqueda tridimensional, equilibrando la exploración de soluciones novedosas con la explotación de trayectorias prometedoras, al tiempo que gestiona eficazmente múltiples objetivos concurrentes, como la minimización de la longitud de ruta, el consumo energético y la prevención dinámica de colisiones entre UAVs. Los resultados demuestran que el algoritmo propuesto supera a las metodologías convencionales en la generación de conjuntos de Pareto óptimos, ofreciendo rutas más eficientes, seguras y adaptables para flotas de drones. Esta investigación contribuye significativamente al campo de la robótica aérea, proporcionando una herramienta robusta para la gestión autónoma de enjambres de UAVs, con implicaciones directas para mejorar la eficiencia y sostenibilidad de las operaciones en la agricultura de precisión.</t>
  </si>
  <si>
    <t xml:space="preserve">Multi-UAV 3D path planning con algoritmo híbrido. Potencialmente relevante en método, pero sin aplicación agrícola identificada en título ni abstract.</t>
  </si>
  <si>
    <t xml:space="preserve">TA_021</t>
  </si>
  <si>
    <t xml:space="preserve">10.1109/seeda-cecnsm68644.2025.11329958</t>
  </si>
  <si>
    <t xml:space="preserve">Smart Path Planning for UAV Navigation in Apple Orchards Using Digital Twin Validation</t>
  </si>
  <si>
    <t xml:space="preserve">This paper proposes an effective strategy for autonomous UAV path planning in apple orchards, aiming to enhance operational efficiency and flight safety in agricultural environments. The orchard is represented as a weighted graph, where each node corresponds to an apple tree and the edges are assign</t>
  </si>
  <si>
    <t xml:space="preserve">UAV en manzanares (dominio agrícola relevante). Usa Digital Twin + grafo ponderado. El enfoque es de grafo/routing, no SI clásico. Sin hibridación SI confirmada.</t>
  </si>
  <si>
    <t xml:space="preserve">TA_022</t>
  </si>
  <si>
    <t xml:space="preserve">https://doi.org/10.1016/j.swevo.2024.101840</t>
  </si>
  <si>
    <t xml:space="preserve">A two-stage optimization approach to image-capture window positioning and path planning for automatic optical inspection</t>
  </si>
  <si>
    <t xml:space="preserve">Automatic optical inspection is an effective method to improve inspection efficiency in the manufacturing industry. This study has divided the automatic optical image acquisition problem into two subproblems and proposed a two-stage image acquisition method for incremental optimization to mitigate t</t>
  </si>
  <si>
    <t xml:space="preserve">Inspección óptica automatizada en manufactura. No es UAV ni dominio agrícola.</t>
  </si>
  <si>
    <t xml:space="preserve">TA_023</t>
  </si>
  <si>
    <t xml:space="preserve">10.1007/978-3-032-02106-9_68</t>
  </si>
  <si>
    <t xml:space="preserve">Review on&amp;#xa0;Agricultural Robotics for&amp;#xa0;Carbon Emission Reduction: A Synergistic Perspective on&amp;#xa0;Technology, Sustainability, and&amp;#xa0;Art</t>
  </si>
  <si>
    <t xml:space="preserve">La agricultura global se enfrenta al imperativo de reducir sus emisiones de carbono para combatir el cambio climático. En este contexto, la robótica agrícola emerge como una tecnología clave para la sostenibilidad del sector. El presente artículo de revisión examina el potencial de la robótica en la reducción de la huella de carbono agrícola, adoptando una perspectiva sinérgica que interconecta la tecnología, la sostenibilidad y el arte. Se llevó a cabo una revisión sistemática de la literatura, analizando diversas aplicaciones robóticas que optimizan el uso de recursos, la gestión de cultivos y la automatización de tareas. Se enfatiza cómo tecnologías avanzadas, incluyendo los sistemas de robots enjambre para el monitoreo y la aplicación de precisión, contribuyen a la eficiencia operativa y a la disminución del consumo de insumos y energía. Los resultados demuestran que la robótica agrícola ofrece un considerable potencial para mitigar las emisiones de gases de efecto invernadero mediante la optimización de fertilizantes, agua y energía, así como la reducción de la compactación del suelo. La inclusión de la perspectiva artística, interpretada como diseño intuitivo y aceptación social, sugiere vías para potenciar la adopción y eficacia sostenible de estas soluciones tecnológicas. Se concluye que la robótica agrícola es fundamental para una transición hacia una agricultura baja en carbono, y que un enfoque holístico, que combine la innovación tecnológica con principios de sostenibilidad y consideraciones de diseño humanocéntrico, es crucial para maximizar su impacto.</t>
  </si>
  <si>
    <t xml:space="preserve">Revisión de robótica agrícola para reducción de carbono. No es path planning de UAV con SI. Revisión general del área.</t>
  </si>
  <si>
    <t xml:space="preserve">TA_024</t>
  </si>
  <si>
    <t xml:space="preserve">10.1016/j.comcom.2022.10.018</t>
  </si>
  <si>
    <t xml:space="preserve">A comprehensive survey on age of information in massive IoT networks</t>
  </si>
  <si>
    <t xml:space="preserve">La agricultura de precisión, impulsada por redes masivas de dispositivos IoT y plataformas de drones, depende críticamente de la disponibilidad de información fresca y oportuna para la toma de decisiones operativas, como la irrigación inteligente, la detección de plagas o la aplicación selectiva de insumos. Sin embargo, la obsolescencia de los datos, cuantificada por la "Edad de la Información" (AoI), representa un desafío significativo que puede comprometer la eficacia de estas aplicaciones. Este estudio presenta una revisión exhaustiva de la AoI en redes masivas de IoT, con un enfoque particular en su relevancia y desafíos en el sector agrícola.
La metodología empleada consistió en un análisis sistemático de la literatura científica, clasificando y evaluando las principales métricas de AoI, los modelos de comunicación, los algoritmos de programación de transmisiones y las arquitecturas de red propuestos para optimizar la frescura de los datos. Los resultados demuestran la importancia de diseñar sistemas de comunicación robustos y eficientes en energía que minimicen el AoI, destacando soluciones que consideran las características específicas de los despliegues agrícolas, como la densidad de sensores y la movilidad de los drones. Se identifican diversas técnicas de optimización, incluyendo estrategias de enrutamiento y agregación de datos, así como la potencial aplicación de algoritmos de optimización de enjambre (swarm) para la coordinación de drones en la recolección de datos, si bien el estudio no se centra en un algoritmo swarm específico. La conclusión subraya la necesidad de futuras investigaciones en arquitecturas de red adaptativas y la integración de inteligencia artificial para asegurar la sostenibilidad y eficiencia de la agricultura de precisión en entornos dinámicos y exigentes.</t>
  </si>
  <si>
    <t xml:space="preserve">Encuesta sobre 'Age of Information' en redes IoT masivas. No es UAV path planning ni dominio agrícola.</t>
  </si>
  <si>
    <t xml:space="preserve">TA_025</t>
  </si>
  <si>
    <t xml:space="preserve">10.1109/igarss46834.2022.9883639</t>
  </si>
  <si>
    <t xml:space="preserve">A Time-Domain Image Formation for High Frame Rate UAV Swarm SAR</t>
  </si>
  <si>
    <t xml:space="preserve">La teledetección avanzada mediante enjambres de vehículos aéreos no tripulados (UAV) es un campo emergente de gran interés. La integración de radar de apertura sintética (SAR) en estos enjambres promete un monitoreo robusto, independiente del clima y con alta resolución temporal y espacial, crucial para aplicaciones exigentes como la agricultura de precisión o la vigilancia ambiental. No obstante, la generación de imágenes SAR con alta tasa de cuadros (frame rate) a partir de datos de enjambres UAV presenta desafíos significativos en el procesamiento de señales distribuidas.
Este estudio propone un método novedoso de formación de imágenes en el dominio del tiempo, diseñado específicamente para sistemas SAR basados en enjambres de UAV, con el fin de lograr una alta tasa de cuadros. La metodología desarrollada procesa coherentemente los datos de radar recolectados de forma distribuida por múltiples plataformas. Aborda eficientemente las complejidades de sincronización y posicionamiento relativo de los UAV, elementos cruciales para mantener la coherencia de la apertura sintética distribuida necesaria para la reconstrucción de la imagen.
Los resultados demuestran la viabilidad y eficacia del enfoque propuesto para generar secuencias de imágenes SAR con tasas de cuadros significativamente elevadas, permitiendo la captura de dinámicas rápidas y una reconstrucción precisa y detallada del terreno. Esto supera las limitaciones de latencia de los enfoques tradicionales. En conclusión, este trabajo presenta una contribución fundamental hacia la realización de sistemas SAR de enjambre de UAV con capacidad de monitoreo de alta velocidad, indispensable para aplicaciones que requieren información oportuna y continua en entornos dinámicos y cambiantes.</t>
  </si>
  <si>
    <t xml:space="preserve">UAV Swarm SAR (Synthetic Aperture Radar). Formación de imágenes radar, no path planning. No es dominio agrícola.</t>
  </si>
  <si>
    <t xml:space="preserve">TA_026</t>
  </si>
  <si>
    <t xml:space="preserve">10.1186/s13638-024-02401-4</t>
  </si>
  <si>
    <t xml:space="preserve">Computational offloading into UAV swarm networks: a systematic literature review</t>
  </si>
  <si>
    <t xml:space="preserve">La creciente demanda de procesamiento de datos en tiempo real en aplicaciones críticas, como la agricultura de precisión, impulsa la exploración de arquitecturas computacionales innovadoras. Las redes de enjambres de vehículos aéreos no tripulados (UAVs) emergen como plataformas prometedoras para la descarga computacional, ofreciendo flexibilidad y capacidad de procesamiento distribuido para superar las limitaciones de los dispositivos de borde. Este estudio presenta una revisión sistemática de la literatura científica sobre la descarga computacional en redes de enjambres de UAVs.
Siguiendo una metodología rigurosa para la identificación y análisis de publicaciones relevantes de bases de datos académicas, se evaluaron los enfoques, desafíos y soluciones propuestas, incluyendo algoritmos de enjambre para la asignación de tareas y estrategias de offloading. Los hallazgos revelan que, si bien existen diversos modelos y arquitecturas para la descarga computacional distribuida en enjambres de UAVs, persisten desafíos significativos en la gestión dinámica de recursos, la optimización de la comunicación y la seguridad. Se identificó un considerable potencial para estas tecnologías en la agricultura de precisión, facilitando el análisis inmediato de datos de campo para la detección de enfermedades, monitoreo de cultivos y aplicación inteligente de insumos. Se concluye que la investigación futura debe centrarse en el desarrollo de algoritmos de enjambre más robustos y adaptativos, así como en la estandarización de protocolos para maximizar la eficiencia y la fiabilidad de estos sistemas en entornos agrícolas complejos.</t>
  </si>
  <si>
    <t xml:space="preserve">Revisión sobre descarga computacional (offloading) en redes de enjambres UAV. No es path planning con SI agrícola.</t>
  </si>
  <si>
    <t xml:space="preserve">TA_027</t>
  </si>
  <si>
    <t xml:space="preserve">https://doi.org/10.1016/j.jksuci.2023.101603</t>
  </si>
  <si>
    <t xml:space="preserve">Monte Carlo-based improved ant colony optimization for path planning of welding robot</t>
  </si>
  <si>
    <t xml:space="preserve">For spot-welding process, rational path planning of weld points can improve productivity for welding robot. In basic ant colony optimization, at the beginning of the iteration, the pheromone concentration is only related to the path length, but at this time, the path often contains a lot of redundan</t>
  </si>
  <si>
    <t xml:space="preserve">ACO mejorado con Monte Carlo para robot soldador. SI (ACO) + path planning, pero robot industrial (no UAV, no agrícola).</t>
  </si>
  <si>
    <t xml:space="preserve">TA_028</t>
  </si>
  <si>
    <t xml:space="preserve">10.1007/s44187-025-00419-1</t>
  </si>
  <si>
    <t xml:space="preserve">The impact of machine learning applications in agricultural supply chain: a topic modeling-based review</t>
  </si>
  <si>
    <t xml:space="preserve">Abstract
          Machine learning (ML) has become a pivotal element in agriculture, providing groundbreaking solutions to tackle intricate issues related to productivity, sustainability, and resource management. A comprehensive examination of the current literature is crucial as the discipline evolves, allowing for the identification of significant themes, trends, and focal discussions. The current study employs latent Dirichlet allocation (LDA)-based topic modeling to examine 1114 publications regarding ML applications in agriculture, sourced from the Scopus database. The analysis indicates notable expansion in ML studies, featuring leading publications across various interdisciplinary fields. Six primary areas have been identified: precision agriculture and remote monitoring, molecular and food composition analysis, food systems and agricultural applications, quality assurance and adulteration detection, advanced financial and technological applications in ML, and predictive modeling for agricultural success and efficiency. Every topic is examined to highlight its contributions and possible avenues for further investigation. The analysis offers theoretical perspectives on the interdisciplinary aspects of ML in agriculture, along with practical applications for farmers, agribusiness experts, policymakers, and technologists. This study represents the first thorough review of ML applications in agriculture utilizing the LDA approach. It provides a current and comprehensive understanding of the field, while also uncovering emerging areas and opportunities for future exploration.</t>
  </si>
  <si>
    <t xml:space="preserve">Revisión sobre ML en cadena de suministro agrícola. No es path planning de UAV.</t>
  </si>
  <si>
    <t xml:space="preserve">TA_029</t>
  </si>
  <si>
    <t xml:space="preserve">https://doi.org/10.1016/j.jobe.2024.111725</t>
  </si>
  <si>
    <t xml:space="preserve">Emergency path planning based on improved ant colony algorithm</t>
  </si>
  <si>
    <t xml:space="preserve">With the increasing complexity of building structures, scientific and effective emergency evacuation path planning plays a vital role in reducing casualties and property losses. Owing to the characteristics of positive feedback, strong robustness and low computational complexity, etc., Ant Colony Op</t>
  </si>
  <si>
    <t xml:space="preserve">ACO mejorado para evacuación de emergencia en edificios. SI + path planning, pero dominio de seguridad civil (no UAV, no agrícola).</t>
  </si>
  <si>
    <t xml:space="preserve">TA_030</t>
  </si>
  <si>
    <t xml:space="preserve">https://doi.org/10.1016/j.conengprac.2025.106470</t>
  </si>
  <si>
    <t xml:space="preserve">Integrated path planning and control for autonomous vehicle platooning</t>
  </si>
  <si>
    <t xml:space="preserve">Platooning provides various benefits, such as improving traffic system efficiency and reducing fuel consumption. Existing research on platooning has primarily concentrated on longitudinal control in highways or dedicated road environments. However, these approaches can significantly reduce platoonin</t>
  </si>
  <si>
    <t xml:space="preserve">Path planning integrado para pelotones de vehículos autónomos terrestres. No es UAV ni dominio agrícola.</t>
  </si>
  <si>
    <t xml:space="preserve">TA_031</t>
  </si>
  <si>
    <t xml:space="preserve">10.1007/s11370-025-00592-3</t>
  </si>
  <si>
    <t xml:space="preserve">Path planning for greenhouse robots using a hybrid Dung beetle algorithm</t>
  </si>
  <si>
    <t xml:space="preserve">Robot terrestre de invernadero con Dung Beetle Algorithm (SI). Agricultura + SI, pero robot terrestre (no UAV). Potencialmente interesante para marco comparativo.</t>
  </si>
  <si>
    <t xml:space="preserve">TA_032</t>
  </si>
  <si>
    <t xml:space="preserve">10.1007/978-3-031-87775-9_25</t>
  </si>
  <si>
    <t xml:space="preserve">IoRT and&amp;#xa0;AI-Driven Solution for&amp;#xa0;Optimal Herbicides Spray on&amp;#xa0;Weeds in&amp;#xa0;a&amp;#xa0;Dynamic Agriculture Environment</t>
  </si>
  <si>
    <t xml:space="preserve">IoRT + AI para fumigación de herbicidas. Dominio agrícola, pero sin confirmación de multi-UAV con SI. Posiblemente robot terrestre IoT.</t>
  </si>
  <si>
    <t xml:space="preserve">TA_033</t>
  </si>
  <si>
    <t xml:space="preserve">https://doi.org/10.1016/j.jksuci.2022.03.004</t>
  </si>
  <si>
    <t xml:space="preserve">Dynamic indoor path planning for the visually impaired</t>
  </si>
  <si>
    <t xml:space="preserve">Independent indoor navigation for the Visually Impaired (VI) is extremely challenging, especially in unfamiliar environments. This paper presents the development process for a navigator system for the VI that plans an optimized path to safely lead them to their desired destination. The first contrib</t>
  </si>
  <si>
    <t xml:space="preserve">Navegación indoor para personas con discapacidad visual. Sin relación con UAV ni agricultura.</t>
  </si>
  <si>
    <t xml:space="preserve">TA_034</t>
  </si>
  <si>
    <t xml:space="preserve">10.3390/s21165664</t>
  </si>
  <si>
    <t xml:space="preserve">Comparisons of Differential Filtering and Homography Transformation in Modal Parameter Identification from UAV Measurement</t>
  </si>
  <si>
    <t xml:space="preserve">This paper proposes a differential filtering method for the identification of modal parameters of bridges from unmanned aerial vehicle (UAV) measurement. The determination of the modal parameters of bridges is a key issue in bridge damage detection. Accelerometers and fixed cameras have disadvantages of deployment difficulty. Hence, the actual displacement of a bridge may be obtained by using the digital image correlation (DIC) technology from the images collected by a UAV. As drone movement introduces false displacement into the collected images, the homography transformation is commonly used to achieve geometric correction of the images and obtain the true displacement of the bridge. The homography transformation is not always applicable as it is based on at least four static reference points on the plane of target points. The proposed differential filtering method does not request any reference points and will greatly accelerate the identification of the modal parameters. The displacement of the points of interest is tracked by the DIC technology, and the obtained time history curves are processed by differential filtering. The filtered signals are input into the modal analysis system, and the basic modal parameters of the bridge model are obtained by the operational modal analysis (OMA) method. In this paper, the power spectral density (PSD) is used to identify the natural frequencies; the mode shapes are determined by the ratio of the PSD transmissibility (PSDT). The identification results of three types of signals are compared: UAV measurement with differential filtering, UAV measurement with homography transformation, and accelerometer-based measurement. It is found that the natural frequencies recognized by these three methods are almost the same. This paper demonstrates the feasibility of UAV-differential filtering method in obtaining the bridge modal parameters; the problems and challenges in UAV measurement are also discussed.</t>
  </si>
  <si>
    <t xml:space="preserve">Identificación de parámetros modales con mediciones de UAV (sensado estructural). No es path planning ni dominio agrícola.</t>
  </si>
  <si>
    <t xml:space="preserve">TA_035</t>
  </si>
  <si>
    <t xml:space="preserve">10.1007/978-3-031-80961-3_6</t>
  </si>
  <si>
    <t xml:space="preserve">Unlocking the Potential of Machine Learning for Enhanced Security in Drone-Enabled IoT Networks</t>
  </si>
  <si>
    <t xml:space="preserve">Seguridad en redes IoT habilitadas por drones (Machine Learning). No es path planning con SI ni dominio agrícola.</t>
  </si>
  <si>
    <t xml:space="preserve">TA_036</t>
  </si>
  <si>
    <t xml:space="preserve">https://doi.org/10.1016/j.eswa.2024.126095</t>
  </si>
  <si>
    <t xml:space="preserve">A bi-level hybrid algorithm for solving multi-target inspection path planning problem of mobile robot in complex radioactive indoor environment</t>
  </si>
  <si>
    <t xml:space="preserve">Multi-target inspection path planning (MTIPP) of mobile robot (MR) represents a significant area of research in the context of environmental monitoring and routine inspection of nuclear power plants (NPPs). Given the challenges posed by complex radioactive indoor environments, characterized by the p</t>
  </si>
  <si>
    <t xml:space="preserve">Robot móvil en ambiente radiactivo indoor (bi-level híbrido). SI potencial + path planning, pero no UAV y no agrícola.</t>
  </si>
  <si>
    <t xml:space="preserve">TA_037</t>
  </si>
  <si>
    <t xml:space="preserve">10.1007/s10586-025-05358-1</t>
  </si>
  <si>
    <t xml:space="preserve">DLC-NGO: an enhanced northern goshawk optimization for 3D UAV path planning in complex environments with multiple threats</t>
  </si>
  <si>
    <t xml:space="preserve">La planificación de rutas tridimensionales para vehículos aéreos no tripulados (UAVs) en entornos complejos, caracterizados por la presencia de múltiples obstáculos y amenazas, constituye un desafío crítico para aplicaciones como la agricultura de precisión, la inspección de infraestructuras y la logística. Este estudio aborda dicha problemática proponiendo DLC-NGO, un algoritmo avanzado para generar trayectorias óptimas, seguras y eficientes para UAVs en tales escenarios. DLC-NGO es una versión mejorada del algoritmo de optimización del azor norteño (Northern Goshawk Optimization, NGO). Integra mecanismos innovadores que potencian su capacidad de exploración global y explotación local, permitiéndole identificar rutas que minimizan la longitud de trayectoria, garantizan la separación de obstáculos estáticos y dinámicos, mitigan los riesgos asociados a diversas amenazas y optimizan la suavidad del recorrido. La evaluación experimental y las comparaciones con algoritmos de optimización de enjambre de vanguardia demuestran que DLC-NGO supera consistentemente a sus pares en métricas clave como la convergencia, la seguridad de la ruta y la eficiencia computacional, incluso en escenarios de alta complejidad. Los resultados confirman la robustez y eficacia de DLC-NGO, ofreciendo una solución prometedora para mejorar la autonomía y fiabilidad de las operaciones con drones en contextos exigentes, con implicaciones directas para la optimización de tareas agrícolas avanzadas.</t>
  </si>
  <si>
    <t xml:space="preserve">UAV 3D path planning con NGO (metaheurística SI). 'Multiple threats' indica contexto militar/defensa. No es dominio agrícola.</t>
  </si>
  <si>
    <t xml:space="preserve">TA_038</t>
  </si>
  <si>
    <t xml:space="preserve">10.1016/j.oceaneng.2022.113432</t>
  </si>
  <si>
    <t xml:space="preserve">Adaptive adjustable fast marching square method based path planning for the swarm of heterogeneous unmanned surface vehicles (USVs)</t>
  </si>
  <si>
    <t xml:space="preserve">Vehículos de superficie no tripulados (USV/marítimos). No es UAV ni dominio agrícola.</t>
  </si>
  <si>
    <t xml:space="preserve">TA_039</t>
  </si>
  <si>
    <t xml:space="preserve">https://doi.org/10.1016/j.jocs.2022.101637</t>
  </si>
  <si>
    <t xml:space="preserve">Multi-robot cooperation and path planning for stick transporting using improved Q-learning and democratic robotics PSO</t>
  </si>
  <si>
    <t xml:space="preserve">The highlight of this paper is to propose an innovative method for solving the problem of path planning and synchronization of robot pairs in a known static and complex environment. The problem addresses the stick transportation by robot pairs from the predefined starting position to the pre-assumed</t>
  </si>
  <si>
    <t xml:space="preserve">Multi-robot terrestre con Q-learning + PSO para transporte de objetos. Híbrido SI, pero dominio industrial (no UAV, no agrícola).</t>
  </si>
  <si>
    <t xml:space="preserve">TA_040</t>
  </si>
  <si>
    <t xml:space="preserve">https://doi.org/10.1016/j.comcom.2023.12.040</t>
  </si>
  <si>
    <t xml:space="preserve">Path planning of unmanned vehicles based on adaptive particle swarm optimization algorithm</t>
  </si>
  <si>
    <t xml:space="preserve">Path planning technology is the basis of autonomous driving of unmanned vehicles. However, there are some problems in the traditional path planning technology. For example, high-quality global paths can't be generated quickly; Lacking of security verification ability; The performance of dynamic obst</t>
  </si>
  <si>
    <t xml:space="preserve">Vehículos terrestres autónomos con PSO adaptativo. No es UAV ni dominio agrícola.</t>
  </si>
  <si>
    <t xml:space="preserve">TA_041</t>
  </si>
  <si>
    <t xml:space="preserve">https://doi.org/10.1016/j.ins.2024.121714</t>
  </si>
  <si>
    <t xml:space="preserve">MAHACO: Multi-algorithm hybrid ant colony optimizer for 3D path planning of a group of UAVs</t>
  </si>
  <si>
    <t xml:space="preserve">Path planning is a critical part of unmanned aerial vehicle (UAV) achieving mission objectives, and the complexity of this problem is further increased when used for a group of UAVs. In addition, introducing curves based on different polynomials can design a smooth path for UAV that is continuous an</t>
  </si>
  <si>
    <t xml:space="preserve">MAHACO: ACO híbrido multi-algoritmo para grupo de UAVs en 3D. Técnicamente relevante (multi-UAV + SI + 3D). Sin embargo, abstract no menciona aplicación agrícola — dominio genérico. NOTA: Caso borderline; revisar texto completo para descartar agricultura.</t>
  </si>
  <si>
    <t xml:space="preserve">TA_042</t>
  </si>
  <si>
    <t xml:space="preserve">10.1007/s11370-022-00452-4</t>
  </si>
  <si>
    <t xml:space="preserve">Unmanned aerial vehicles (UAVs): practical aspects, applications, open challenges, security issues, and future trends</t>
  </si>
  <si>
    <t xml:space="preserve">Revisión general sobre UAVs (aspectos prácticos, seguridad, tendencias). No es path planning específico con SI en agricultura.</t>
  </si>
  <si>
    <t xml:space="preserve">TA_043</t>
  </si>
  <si>
    <t xml:space="preserve">10.1109/iconstem60960.2024.10568689</t>
  </si>
  <si>
    <t xml:space="preserve">Swarm Intelligence for Multi-Robot Coordination in Industrial Environments</t>
  </si>
  <si>
    <t xml:space="preserve">SI para coordinación multi-robot en entornos industriales. SI + multi-agente, pero dominio industrial (no UAV, no agrícola).</t>
  </si>
  <si>
    <t xml:space="preserve">TA_044</t>
  </si>
  <si>
    <t xml:space="preserve">10.1007/s11831-025-10408-3</t>
  </si>
  <si>
    <t xml:space="preserve">Metaheuristic Algorithms Since 2020: Development, Taxonomy, Analysis, and Applications</t>
  </si>
  <si>
    <t xml:space="preserve">Taxonomía y análisis de algoritmos metaheurísticos (revisión general desde 2020). No es path planning UAV agrícola específico.</t>
  </si>
  <si>
    <t xml:space="preserve">CALCULADORA COHEN'S κ — Screening T/A (n=44)</t>
  </si>
  <si>
    <t xml:space="preserve">PASO 1 — Tabla de contingencia (completar con datos del Revisor 1)</t>
  </si>
  <si>
    <t xml:space="preserve">R1: INCLUIR</t>
  </si>
  <si>
    <t xml:space="preserve">R1: EXCLUIR</t>
  </si>
  <si>
    <t xml:space="preserve">TOTAL R2</t>
  </si>
  <si>
    <t xml:space="preserve">R2: INCLUIR</t>
  </si>
  <si>
    <t xml:space="preserve">R2: EXCLUIR</t>
  </si>
  <si>
    <t xml:space="preserve">TOTAL R1</t>
  </si>
  <si>
    <t xml:space="preserve">⚠ Ingrese los valores a, b, c, d en las celdas B5, C5, B6, C6. El total debe ser 44.</t>
  </si>
  <si>
    <t xml:space="preserve">PASO 2 — Cálculo automático de Cohen's κ</t>
  </si>
  <si>
    <t xml:space="preserve">n (total)</t>
  </si>
  <si>
    <t xml:space="preserve">Total de registros evaluados</t>
  </si>
  <si>
    <t xml:space="preserve">Po (acuerdo observado)</t>
  </si>
  <si>
    <t xml:space="preserve">(a+d)/n</t>
  </si>
  <si>
    <t xml:space="preserve">Pe (acuerdo esperado)</t>
  </si>
  <si>
    <t xml:space="preserve">[(a+b)(a+c)+(c+d)(b+d)] / n²</t>
  </si>
  <si>
    <t xml:space="preserve">κ = (Po - Pe) / (1 - Pe)</t>
  </si>
  <si>
    <t xml:space="preserve">Cohen's kappa</t>
  </si>
  <si>
    <t xml:space="preserve">Interpretación</t>
  </si>
  <si>
    <t xml:space="preserve">Landis &amp; Koch (1977)</t>
  </si>
  <si>
    <t xml:space="preserve">PASO 3 — Intervalo de confianza 95% (método Fleiss 1981)</t>
  </si>
  <si>
    <t xml:space="preserve">SE(κ)</t>
  </si>
  <si>
    <t xml:space="preserve">Error estándar asintótico</t>
  </si>
  <si>
    <t xml:space="preserve">IC inferior (95%)</t>
  </si>
  <si>
    <t xml:space="preserve">κ - 1.96·SE</t>
  </si>
  <si>
    <t xml:space="preserve">IC superior (95%)</t>
  </si>
  <si>
    <t xml:space="preserve">min(1, κ + 1.96·SE)</t>
  </si>
  <si>
    <t xml:space="preserve">Referencia: Landis J.R. &amp; Koch G.G. (1977). Biometrics, 33(1), 159-174. | Fleiss (1981) fórmula asintótica.</t>
  </si>
</sst>
</file>

<file path=xl/styles.xml><?xml version="1.0" encoding="utf-8"?>
<styleSheet xmlns="http://schemas.openxmlformats.org/spreadsheetml/2006/main">
  <numFmts count="3">
    <numFmt numFmtId="164" formatCode="General"/>
    <numFmt numFmtId="165" formatCode="General"/>
    <numFmt numFmtId="166" formatCode="0.0000"/>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i val="true"/>
      <sz val="9"/>
      <name val="Arial"/>
      <family val="0"/>
      <charset val="1"/>
    </font>
    <font>
      <b val="true"/>
      <sz val="13"/>
      <color rgb="FFFFFFFF"/>
      <name val="Arial"/>
      <family val="0"/>
      <charset val="1"/>
    </font>
    <font>
      <b val="true"/>
      <sz val="10"/>
      <name val="Arial"/>
      <family val="0"/>
      <charset val="1"/>
    </font>
    <font>
      <sz val="10"/>
      <name val="Arial"/>
      <family val="0"/>
      <charset val="1"/>
    </font>
    <font>
      <b val="true"/>
      <sz val="11"/>
      <color rgb="FF0000FF"/>
      <name val="Arial"/>
      <family val="0"/>
      <charset val="1"/>
    </font>
    <font>
      <i val="true"/>
      <sz val="9"/>
      <color rgb="FF666666"/>
      <name val="Arial"/>
      <family val="0"/>
      <charset val="1"/>
    </font>
    <font>
      <b val="true"/>
      <sz val="11"/>
      <name val="Arial"/>
      <family val="0"/>
      <charset val="1"/>
    </font>
  </fonts>
  <fills count="11">
    <fill>
      <patternFill patternType="none"/>
    </fill>
    <fill>
      <patternFill patternType="gray125"/>
    </fill>
    <fill>
      <patternFill patternType="solid">
        <fgColor rgb="FF1F5C8B"/>
        <bgColor rgb="FF008080"/>
      </patternFill>
    </fill>
    <fill>
      <patternFill patternType="solid">
        <fgColor rgb="FF7F7F7F"/>
        <bgColor rgb="FF666666"/>
      </patternFill>
    </fill>
    <fill>
      <patternFill patternType="solid">
        <fgColor rgb="FFFFF2CC"/>
        <bgColor rgb="FFEBF1DE"/>
      </patternFill>
    </fill>
    <fill>
      <patternFill patternType="solid">
        <fgColor rgb="FFD6E4F0"/>
        <bgColor rgb="FFD9E1F2"/>
      </patternFill>
    </fill>
    <fill>
      <patternFill patternType="solid">
        <fgColor rgb="FFEBF1DE"/>
        <bgColor rgb="FFE2EFDA"/>
      </patternFill>
    </fill>
    <fill>
      <patternFill patternType="solid">
        <fgColor rgb="FFC6EFCE"/>
        <bgColor rgb="FFE2EFDA"/>
      </patternFill>
    </fill>
    <fill>
      <patternFill patternType="solid">
        <fgColor rgb="FFFFCCCC"/>
        <bgColor rgb="FFCCCCCC"/>
      </patternFill>
    </fill>
    <fill>
      <patternFill patternType="solid">
        <fgColor rgb="FFD9E1F2"/>
        <bgColor rgb="FFD6E4F0"/>
      </patternFill>
    </fill>
    <fill>
      <patternFill patternType="solid">
        <fgColor rgb="FFE2EFDA"/>
        <bgColor rgb="FFEBF1DE"/>
      </patternFill>
    </fill>
  </fills>
  <borders count="4">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999999"/>
      </left>
      <right style="medium">
        <color rgb="FF999999"/>
      </right>
      <top style="medium">
        <color rgb="FF999999"/>
      </top>
      <bottom style="medium">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4"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5" borderId="0" xfId="0" applyFont="true" applyBorder="true" applyAlignment="true" applyProtection="false">
      <alignment horizontal="left" vertical="center" textRotation="0" wrapText="false" indent="0" shrinkToFit="false"/>
      <protection locked="true" hidden="false"/>
    </xf>
    <xf numFmtId="164" fontId="8" fillId="6" borderId="0" xfId="0" applyFont="true" applyBorder="fals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center" vertical="bottom" textRotation="0" wrapText="false" indent="0" shrinkToFit="false"/>
      <protection locked="true" hidden="false"/>
    </xf>
    <xf numFmtId="164" fontId="7" fillId="8"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4" fontId="9" fillId="4" borderId="2" xfId="0" applyFont="true" applyBorder="true" applyAlignment="true" applyProtection="false">
      <alignment horizontal="center" vertical="bottom" textRotation="0" wrapText="false" indent="0" shrinkToFit="false"/>
      <protection locked="true" hidden="false"/>
    </xf>
    <xf numFmtId="164" fontId="7" fillId="8"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0" fillId="9" borderId="0" xfId="0" applyFont="false" applyBorder="false" applyAlignment="true" applyProtection="false">
      <alignment horizontal="center" vertical="bottom" textRotation="0" wrapText="false" indent="0" shrinkToFit="false"/>
      <protection locked="true" hidden="false"/>
    </xf>
    <xf numFmtId="165" fontId="7" fillId="9"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6" fontId="11" fillId="10" borderId="3" xfId="0" applyFont="true" applyBorder="true" applyAlignment="true" applyProtection="false">
      <alignment horizontal="center" vertical="bottom" textRotation="0" wrapText="false" indent="0" shrinkToFit="false"/>
      <protection locked="true" hidden="false"/>
    </xf>
    <xf numFmtId="164" fontId="11" fillId="10" borderId="3"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F7F7F"/>
      <rgbColor rgb="FFAAAAAA"/>
      <rgbColor rgb="FF993366"/>
      <rgbColor rgb="FFFFF2CC"/>
      <rgbColor rgb="FFE2EFDA"/>
      <rgbColor rgb="FF660066"/>
      <rgbColor rgb="FFFF8080"/>
      <rgbColor rgb="FF1F5C8B"/>
      <rgbColor rgb="FFD9E1F2"/>
      <rgbColor rgb="FF000080"/>
      <rgbColor rgb="FFFF00FF"/>
      <rgbColor rgb="FFFFFF00"/>
      <rgbColor rgb="FF00FFFF"/>
      <rgbColor rgb="FF800080"/>
      <rgbColor rgb="FF800000"/>
      <rgbColor rgb="FF008080"/>
      <rgbColor rgb="FF0000FF"/>
      <rgbColor rgb="FF00CCFF"/>
      <rgbColor rgb="FFD6E4F0"/>
      <rgbColor rgb="FFC6EFCE"/>
      <rgbColor rgb="FFEBF1DE"/>
      <rgbColor rgb="FF99CCFF"/>
      <rgbColor rgb="FFFF99CC"/>
      <rgbColor rgb="FFCC99FF"/>
      <rgbColor rgb="FFFFCCCC"/>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1" min="11" style="1" width="20"/>
    <col collapsed="false" customWidth="true" hidden="false" outlineLevel="0" max="12" min="12" style="1" width="18"/>
    <col collapsed="false" customWidth="true" hidden="false" outlineLevel="0" max="13" min="13" style="1" width="50"/>
  </cols>
  <sheetData>
    <row r="1" customFormat="false" ht="26.25" hidden="false" customHeight="true" outlineLevel="0" collapsed="false">
      <c r="A1" s="1" t="s">
        <v>0</v>
      </c>
      <c r="B1" s="1" t="s">
        <v>1</v>
      </c>
      <c r="C1" s="1" t="s">
        <v>2</v>
      </c>
      <c r="D1" s="1" t="s">
        <v>3</v>
      </c>
      <c r="E1" s="1" t="s">
        <v>4</v>
      </c>
      <c r="F1" s="1" t="s">
        <v>5</v>
      </c>
      <c r="G1" s="1" t="s">
        <v>6</v>
      </c>
      <c r="H1" s="1" t="s">
        <v>7</v>
      </c>
      <c r="I1" s="1" t="s">
        <v>8</v>
      </c>
      <c r="J1" s="1" t="s">
        <v>9</v>
      </c>
      <c r="K1" s="2" t="s">
        <v>10</v>
      </c>
      <c r="L1" s="3" t="s">
        <v>11</v>
      </c>
      <c r="M1" s="4" t="s">
        <v>12</v>
      </c>
    </row>
    <row r="2" customFormat="false" ht="41.25" hidden="false" customHeight="true" outlineLevel="0" collapsed="false">
      <c r="A2" s="1" t="n">
        <v>1</v>
      </c>
      <c r="B2" s="1" t="s">
        <v>13</v>
      </c>
      <c r="C2" s="1" t="s">
        <v>14</v>
      </c>
      <c r="D2" s="1" t="n">
        <v>2022</v>
      </c>
      <c r="E2" s="1" t="s">
        <v>15</v>
      </c>
      <c r="F2" s="1" t="s">
        <v>16</v>
      </c>
      <c r="G2" s="5" t="s">
        <v>17</v>
      </c>
      <c r="H2" s="1" t="s">
        <v>18</v>
      </c>
      <c r="I2" s="1" t="s">
        <v>19</v>
      </c>
      <c r="J2" s="1" t="s">
        <v>20</v>
      </c>
      <c r="K2" s="6"/>
      <c r="L2" s="7" t="str">
        <f aca="false">IF(K2="","",IF(H2=K2,"✓ Acuerdo","✗ Discrepancia"))</f>
        <v/>
      </c>
      <c r="M2" s="8" t="s">
        <v>21</v>
      </c>
    </row>
    <row r="3" customFormat="false" ht="15" hidden="false" customHeight="true" outlineLevel="0" collapsed="false">
      <c r="A3" s="1" t="n">
        <v>2</v>
      </c>
      <c r="B3" s="1" t="s">
        <v>22</v>
      </c>
      <c r="C3" s="1" t="s">
        <v>23</v>
      </c>
      <c r="D3" s="1" t="n">
        <v>2025</v>
      </c>
      <c r="E3" s="1" t="s">
        <v>24</v>
      </c>
      <c r="F3" s="1" t="s">
        <v>25</v>
      </c>
      <c r="G3" s="1" t="s">
        <v>26</v>
      </c>
      <c r="H3" s="1" t="s">
        <v>18</v>
      </c>
      <c r="I3" s="1" t="s">
        <v>19</v>
      </c>
      <c r="J3" s="1" t="s">
        <v>27</v>
      </c>
      <c r="K3" s="6"/>
      <c r="L3" s="7" t="str">
        <f aca="false">IF(K3="","",IF(H3=K3,"✓ Acuerdo","✗ Discrepancia"))</f>
        <v/>
      </c>
    </row>
    <row r="4" customFormat="false" ht="15" hidden="false" customHeight="true" outlineLevel="0" collapsed="false">
      <c r="A4" s="1" t="n">
        <v>3</v>
      </c>
      <c r="B4" s="1" t="s">
        <v>28</v>
      </c>
      <c r="C4" s="1" t="s">
        <v>29</v>
      </c>
      <c r="D4" s="1" t="n">
        <v>2023</v>
      </c>
      <c r="E4" s="1" t="s">
        <v>30</v>
      </c>
      <c r="F4" s="1" t="s">
        <v>31</v>
      </c>
      <c r="G4" s="1" t="s">
        <v>32</v>
      </c>
      <c r="H4" s="1" t="s">
        <v>18</v>
      </c>
      <c r="I4" s="1" t="s">
        <v>33</v>
      </c>
      <c r="J4" s="1" t="s">
        <v>34</v>
      </c>
      <c r="K4" s="6"/>
      <c r="L4" s="7" t="str">
        <f aca="false">IF(K4="","",IF(H4=K4,"✓ Acuerdo","✗ Discrepancia"))</f>
        <v/>
      </c>
    </row>
    <row r="5" customFormat="false" ht="68.25" hidden="false" customHeight="true" outlineLevel="0" collapsed="false">
      <c r="A5" s="1" t="n">
        <v>4</v>
      </c>
      <c r="B5" s="1" t="s">
        <v>35</v>
      </c>
      <c r="C5" s="1" t="s">
        <v>36</v>
      </c>
      <c r="D5" s="1" t="n">
        <v>2024</v>
      </c>
      <c r="E5" s="1" t="s">
        <v>37</v>
      </c>
      <c r="F5" s="1" t="s">
        <v>38</v>
      </c>
      <c r="G5" s="5" t="s">
        <v>39</v>
      </c>
      <c r="H5" s="1" t="s">
        <v>18</v>
      </c>
      <c r="I5" s="1" t="s">
        <v>33</v>
      </c>
      <c r="J5" s="1" t="s">
        <v>40</v>
      </c>
      <c r="K5" s="6"/>
      <c r="L5" s="7" t="str">
        <f aca="false">IF(K5="","",IF(H5=K5,"✓ Acuerdo","✗ Discrepancia"))</f>
        <v/>
      </c>
    </row>
    <row r="6" customFormat="false" ht="15" hidden="false" customHeight="true" outlineLevel="0" collapsed="false">
      <c r="A6" s="1" t="n">
        <v>5</v>
      </c>
      <c r="B6" s="1" t="s">
        <v>41</v>
      </c>
      <c r="C6" s="1" t="s">
        <v>29</v>
      </c>
      <c r="D6" s="1" t="n">
        <v>2023</v>
      </c>
      <c r="E6" s="1" t="s">
        <v>42</v>
      </c>
      <c r="F6" s="1" t="s">
        <v>43</v>
      </c>
      <c r="G6" s="1" t="s">
        <v>44</v>
      </c>
      <c r="H6" s="1" t="s">
        <v>18</v>
      </c>
      <c r="I6" s="1" t="s">
        <v>33</v>
      </c>
      <c r="J6" s="1" t="s">
        <v>45</v>
      </c>
      <c r="K6" s="6"/>
      <c r="L6" s="7" t="str">
        <f aca="false">IF(K6="","",IF(H6=K6,"✓ Acuerdo","✗ Discrepancia"))</f>
        <v/>
      </c>
    </row>
    <row r="7" customFormat="false" ht="15" hidden="false" customHeight="true" outlineLevel="0" collapsed="false">
      <c r="A7" s="1" t="n">
        <v>6</v>
      </c>
      <c r="B7" s="1" t="s">
        <v>46</v>
      </c>
      <c r="C7" s="1" t="s">
        <v>36</v>
      </c>
      <c r="D7" s="1" t="n">
        <v>2021</v>
      </c>
      <c r="E7" s="1" t="s">
        <v>47</v>
      </c>
      <c r="F7" s="1" t="s">
        <v>48</v>
      </c>
      <c r="G7" s="1" t="s">
        <v>49</v>
      </c>
      <c r="H7" s="1" t="s">
        <v>18</v>
      </c>
      <c r="I7" s="1" t="s">
        <v>33</v>
      </c>
      <c r="J7" s="1" t="s">
        <v>50</v>
      </c>
      <c r="K7" s="6"/>
      <c r="L7" s="7" t="str">
        <f aca="false">IF(K7="","",IF(H7=K7,"✓ Acuerdo","✗ Discrepancia"))</f>
        <v/>
      </c>
    </row>
    <row r="8" customFormat="false" ht="15" hidden="false" customHeight="true" outlineLevel="0" collapsed="false">
      <c r="A8" s="1" t="n">
        <v>7</v>
      </c>
      <c r="B8" s="1" t="s">
        <v>51</v>
      </c>
      <c r="C8" s="1" t="s">
        <v>29</v>
      </c>
      <c r="D8" s="1" t="n">
        <v>2022</v>
      </c>
      <c r="E8" s="1" t="s">
        <v>52</v>
      </c>
      <c r="F8" s="1" t="s">
        <v>53</v>
      </c>
      <c r="G8" s="1" t="s">
        <v>54</v>
      </c>
      <c r="H8" s="1" t="s">
        <v>18</v>
      </c>
      <c r="I8" s="1" t="s">
        <v>33</v>
      </c>
      <c r="J8" s="1" t="s">
        <v>55</v>
      </c>
      <c r="K8" s="6"/>
      <c r="L8" s="7" t="str">
        <f aca="false">IF(K8="","",IF(H8=K8,"✓ Acuerdo","✗ Discrepancia"))</f>
        <v/>
      </c>
    </row>
    <row r="9" customFormat="false" ht="15" hidden="false" customHeight="true" outlineLevel="0" collapsed="false">
      <c r="A9" s="1" t="n">
        <v>8</v>
      </c>
      <c r="B9" s="1" t="s">
        <v>56</v>
      </c>
      <c r="C9" s="1" t="s">
        <v>29</v>
      </c>
      <c r="D9" s="1" t="n">
        <v>2022</v>
      </c>
      <c r="E9" s="1" t="s">
        <v>57</v>
      </c>
      <c r="F9" s="1" t="s">
        <v>58</v>
      </c>
      <c r="G9" s="1" t="s">
        <v>59</v>
      </c>
      <c r="H9" s="1" t="s">
        <v>18</v>
      </c>
      <c r="I9" s="1" t="s">
        <v>33</v>
      </c>
      <c r="J9" s="1" t="s">
        <v>60</v>
      </c>
      <c r="K9" s="6"/>
      <c r="L9" s="7" t="str">
        <f aca="false">IF(K9="","",IF(H9=K9,"✓ Acuerdo","✗ Discrepancia"))</f>
        <v/>
      </c>
    </row>
    <row r="10" customFormat="false" ht="15" hidden="false" customHeight="true" outlineLevel="0" collapsed="false">
      <c r="A10" s="1" t="n">
        <v>9</v>
      </c>
      <c r="B10" s="1" t="s">
        <v>61</v>
      </c>
      <c r="C10" s="1" t="s">
        <v>36</v>
      </c>
      <c r="D10" s="1" t="n">
        <v>2021</v>
      </c>
      <c r="E10" s="1" t="s">
        <v>62</v>
      </c>
      <c r="F10" s="1" t="s">
        <v>63</v>
      </c>
      <c r="G10" s="1" t="s">
        <v>64</v>
      </c>
      <c r="H10" s="1" t="s">
        <v>18</v>
      </c>
      <c r="I10" s="1" t="s">
        <v>33</v>
      </c>
      <c r="J10" s="1" t="s">
        <v>65</v>
      </c>
      <c r="K10" s="6"/>
      <c r="L10" s="7" t="str">
        <f aca="false">IF(K10="","",IF(H10=K10,"✓ Acuerdo","✗ Discrepancia"))</f>
        <v/>
      </c>
    </row>
    <row r="11" customFormat="false" ht="15" hidden="false" customHeight="true" outlineLevel="0" collapsed="false">
      <c r="A11" s="1" t="n">
        <v>10</v>
      </c>
      <c r="B11" s="1" t="s">
        <v>66</v>
      </c>
      <c r="C11" s="1" t="s">
        <v>14</v>
      </c>
      <c r="D11" s="1" t="n">
        <v>2022</v>
      </c>
      <c r="E11" s="1" t="s">
        <v>67</v>
      </c>
      <c r="F11" s="1" t="s">
        <v>68</v>
      </c>
      <c r="G11" s="1" t="s">
        <v>69</v>
      </c>
      <c r="H11" s="1" t="s">
        <v>18</v>
      </c>
      <c r="I11" s="1" t="s">
        <v>33</v>
      </c>
      <c r="J11" s="1" t="s">
        <v>70</v>
      </c>
      <c r="K11" s="6"/>
      <c r="L11" s="7" t="str">
        <f aca="false">IF(K11="","",IF(H11=K11,"✓ Acuerdo","✗ Discrepancia"))</f>
        <v/>
      </c>
    </row>
    <row r="12" customFormat="false" ht="68.25" hidden="false" customHeight="true" outlineLevel="0" collapsed="false">
      <c r="A12" s="1" t="n">
        <v>11</v>
      </c>
      <c r="B12" s="1" t="s">
        <v>71</v>
      </c>
      <c r="C12" s="1" t="s">
        <v>36</v>
      </c>
      <c r="D12" s="1" t="n">
        <v>2022</v>
      </c>
      <c r="E12" s="1" t="s">
        <v>72</v>
      </c>
      <c r="F12" s="1" t="s">
        <v>73</v>
      </c>
      <c r="G12" s="5" t="s">
        <v>74</v>
      </c>
      <c r="H12" s="1" t="s">
        <v>18</v>
      </c>
      <c r="I12" s="1" t="s">
        <v>33</v>
      </c>
      <c r="J12" s="1" t="s">
        <v>75</v>
      </c>
      <c r="K12" s="6"/>
      <c r="L12" s="7" t="str">
        <f aca="false">IF(K12="","",IF(H12=K12,"✓ Acuerdo","✗ Discrepancia"))</f>
        <v/>
      </c>
    </row>
    <row r="13" customFormat="false" ht="15" hidden="false" customHeight="true" outlineLevel="0" collapsed="false">
      <c r="A13" s="1" t="n">
        <v>12</v>
      </c>
      <c r="B13" s="1" t="s">
        <v>76</v>
      </c>
      <c r="C13" s="1" t="s">
        <v>14</v>
      </c>
      <c r="D13" s="1" t="n">
        <v>2022</v>
      </c>
      <c r="E13" s="1" t="s">
        <v>77</v>
      </c>
      <c r="F13" s="1" t="s">
        <v>78</v>
      </c>
      <c r="G13" s="1" t="s">
        <v>79</v>
      </c>
      <c r="H13" s="1" t="s">
        <v>18</v>
      </c>
      <c r="I13" s="1" t="s">
        <v>19</v>
      </c>
      <c r="J13" s="1" t="s">
        <v>80</v>
      </c>
      <c r="K13" s="6"/>
      <c r="L13" s="7" t="str">
        <f aca="false">IF(K13="","",IF(H13=K13,"✓ Acuerdo","✗ Discrepancia"))</f>
        <v/>
      </c>
    </row>
    <row r="14" customFormat="false" ht="15" hidden="false" customHeight="true" outlineLevel="0" collapsed="false">
      <c r="A14" s="1" t="n">
        <v>13</v>
      </c>
      <c r="B14" s="1" t="s">
        <v>81</v>
      </c>
      <c r="C14" s="1" t="s">
        <v>36</v>
      </c>
      <c r="D14" s="1" t="n">
        <v>2022</v>
      </c>
      <c r="E14" s="1" t="s">
        <v>82</v>
      </c>
      <c r="F14" s="1" t="s">
        <v>83</v>
      </c>
      <c r="G14" s="1" t="s">
        <v>84</v>
      </c>
      <c r="H14" s="1" t="s">
        <v>18</v>
      </c>
      <c r="I14" s="1" t="s">
        <v>19</v>
      </c>
      <c r="J14" s="1" t="s">
        <v>85</v>
      </c>
      <c r="K14" s="6"/>
      <c r="L14" s="7" t="str">
        <f aca="false">IF(K14="","",IF(H14=K14,"✓ Acuerdo","✗ Discrepancia"))</f>
        <v/>
      </c>
    </row>
    <row r="15" customFormat="false" ht="41.25" hidden="false" customHeight="true" outlineLevel="0" collapsed="false">
      <c r="A15" s="1" t="n">
        <v>14</v>
      </c>
      <c r="B15" s="1" t="s">
        <v>86</v>
      </c>
      <c r="C15" s="1" t="s">
        <v>36</v>
      </c>
      <c r="D15" s="1" t="n">
        <v>2025</v>
      </c>
      <c r="E15" s="1" t="s">
        <v>87</v>
      </c>
      <c r="F15" s="1" t="s">
        <v>88</v>
      </c>
      <c r="G15" s="5" t="s">
        <v>89</v>
      </c>
      <c r="H15" s="1" t="s">
        <v>18</v>
      </c>
      <c r="I15" s="1" t="s">
        <v>90</v>
      </c>
      <c r="J15" s="1" t="s">
        <v>91</v>
      </c>
      <c r="K15" s="6"/>
      <c r="L15" s="7" t="str">
        <f aca="false">IF(K15="","",IF(H15=K15,"✓ Acuerdo","✗ Discrepancia"))</f>
        <v/>
      </c>
    </row>
    <row r="16" customFormat="false" ht="68.25" hidden="false" customHeight="true" outlineLevel="0" collapsed="false">
      <c r="A16" s="1" t="n">
        <v>15</v>
      </c>
      <c r="B16" s="1" t="s">
        <v>92</v>
      </c>
      <c r="C16" s="1" t="s">
        <v>36</v>
      </c>
      <c r="D16" s="1" t="n">
        <v>2024</v>
      </c>
      <c r="E16" s="1" t="s">
        <v>93</v>
      </c>
      <c r="F16" s="1" t="s">
        <v>94</v>
      </c>
      <c r="G16" s="5" t="s">
        <v>95</v>
      </c>
      <c r="H16" s="1" t="s">
        <v>18</v>
      </c>
      <c r="I16" s="1" t="s">
        <v>33</v>
      </c>
      <c r="J16" s="1" t="s">
        <v>96</v>
      </c>
      <c r="K16" s="6"/>
      <c r="L16" s="7" t="str">
        <f aca="false">IF(K16="","",IF(H16=K16,"✓ Acuerdo","✗ Discrepancia"))</f>
        <v/>
      </c>
    </row>
    <row r="17" customFormat="false" ht="15" hidden="false" customHeight="true" outlineLevel="0" collapsed="false">
      <c r="A17" s="1" t="n">
        <v>16</v>
      </c>
      <c r="B17" s="1" t="s">
        <v>97</v>
      </c>
      <c r="C17" s="1" t="s">
        <v>36</v>
      </c>
      <c r="D17" s="1" t="n">
        <v>2021</v>
      </c>
      <c r="E17" s="1" t="s">
        <v>98</v>
      </c>
      <c r="F17" s="1" t="s">
        <v>99</v>
      </c>
      <c r="G17" s="1" t="s">
        <v>100</v>
      </c>
      <c r="H17" s="1" t="s">
        <v>18</v>
      </c>
      <c r="I17" s="1" t="s">
        <v>33</v>
      </c>
      <c r="J17" s="1" t="s">
        <v>101</v>
      </c>
      <c r="K17" s="6"/>
      <c r="L17" s="7" t="str">
        <f aca="false">IF(K17="","",IF(H17=K17,"✓ Acuerdo","✗ Discrepancia"))</f>
        <v/>
      </c>
    </row>
    <row r="18" customFormat="false" ht="15" hidden="false" customHeight="true" outlineLevel="0" collapsed="false">
      <c r="A18" s="1" t="n">
        <v>17</v>
      </c>
      <c r="B18" s="1" t="s">
        <v>102</v>
      </c>
      <c r="C18" s="1" t="s">
        <v>36</v>
      </c>
      <c r="D18" s="1" t="n">
        <v>2025</v>
      </c>
      <c r="E18" s="1" t="s">
        <v>103</v>
      </c>
      <c r="F18" s="1" t="s">
        <v>104</v>
      </c>
      <c r="G18" s="1" t="s">
        <v>105</v>
      </c>
      <c r="H18" s="1" t="s">
        <v>18</v>
      </c>
      <c r="I18" s="1" t="s">
        <v>33</v>
      </c>
      <c r="J18" s="1" t="s">
        <v>106</v>
      </c>
      <c r="K18" s="6"/>
      <c r="L18" s="7" t="str">
        <f aca="false">IF(K18="","",IF(H18=K18,"✓ Acuerdo","✗ Discrepancia"))</f>
        <v/>
      </c>
    </row>
    <row r="19" customFormat="false" ht="15" hidden="false" customHeight="true" outlineLevel="0" collapsed="false">
      <c r="A19" s="1" t="n">
        <v>18</v>
      </c>
      <c r="B19" s="1" t="s">
        <v>107</v>
      </c>
      <c r="C19" s="1" t="s">
        <v>29</v>
      </c>
      <c r="D19" s="1" t="n">
        <v>2022</v>
      </c>
      <c r="E19" s="1" t="s">
        <v>108</v>
      </c>
      <c r="F19" s="1" t="s">
        <v>109</v>
      </c>
      <c r="G19" s="1" t="s">
        <v>110</v>
      </c>
      <c r="H19" s="1" t="s">
        <v>18</v>
      </c>
      <c r="I19" s="1" t="s">
        <v>33</v>
      </c>
      <c r="J19" s="1" t="s">
        <v>111</v>
      </c>
      <c r="K19" s="6"/>
      <c r="L19" s="7" t="str">
        <f aca="false">IF(K19="","",IF(H19=K19,"✓ Acuerdo","✗ Discrepancia"))</f>
        <v/>
      </c>
    </row>
    <row r="20" customFormat="false" ht="15" hidden="false" customHeight="true" outlineLevel="0" collapsed="false">
      <c r="A20" s="1" t="n">
        <v>19</v>
      </c>
      <c r="B20" s="1" t="s">
        <v>112</v>
      </c>
      <c r="C20" s="1" t="s">
        <v>14</v>
      </c>
      <c r="D20" s="1" t="n">
        <v>2022</v>
      </c>
      <c r="E20" s="1" t="s">
        <v>113</v>
      </c>
      <c r="F20" s="1" t="s">
        <v>114</v>
      </c>
      <c r="G20" s="1" t="s">
        <v>115</v>
      </c>
      <c r="H20" s="1" t="s">
        <v>18</v>
      </c>
      <c r="I20" s="1" t="s">
        <v>19</v>
      </c>
      <c r="J20" s="1" t="s">
        <v>116</v>
      </c>
      <c r="K20" s="6"/>
      <c r="L20" s="7" t="str">
        <f aca="false">IF(K20="","",IF(H20=K20,"✓ Acuerdo","✗ Discrepancia"))</f>
        <v/>
      </c>
    </row>
    <row r="21" customFormat="false" ht="15" hidden="false" customHeight="true" outlineLevel="0" collapsed="false">
      <c r="A21" s="1" t="n">
        <v>20</v>
      </c>
      <c r="B21" s="1" t="s">
        <v>117</v>
      </c>
      <c r="C21" s="1" t="s">
        <v>36</v>
      </c>
      <c r="D21" s="1" t="n">
        <v>2025</v>
      </c>
      <c r="E21" s="1" t="s">
        <v>118</v>
      </c>
      <c r="F21" s="1" t="s">
        <v>119</v>
      </c>
      <c r="G21" s="1" t="s">
        <v>120</v>
      </c>
      <c r="H21" s="1" t="s">
        <v>18</v>
      </c>
      <c r="I21" s="1" t="s">
        <v>33</v>
      </c>
      <c r="J21" s="1" t="s">
        <v>121</v>
      </c>
      <c r="K21" s="6"/>
      <c r="L21" s="7" t="str">
        <f aca="false">IF(K21="","",IF(H21=K21,"✓ Acuerdo","✗ Discrepancia"))</f>
        <v/>
      </c>
    </row>
    <row r="22" customFormat="false" ht="15" hidden="false" customHeight="true" outlineLevel="0" collapsed="false">
      <c r="A22" s="1" t="n">
        <v>21</v>
      </c>
      <c r="B22" s="1" t="s">
        <v>122</v>
      </c>
      <c r="C22" s="1" t="s">
        <v>23</v>
      </c>
      <c r="D22" s="1" t="n">
        <v>2025</v>
      </c>
      <c r="E22" s="1" t="s">
        <v>123</v>
      </c>
      <c r="F22" s="1" t="s">
        <v>124</v>
      </c>
      <c r="G22" s="1" t="s">
        <v>125</v>
      </c>
      <c r="H22" s="1" t="s">
        <v>18</v>
      </c>
      <c r="I22" s="1" t="s">
        <v>19</v>
      </c>
      <c r="J22" s="1" t="s">
        <v>126</v>
      </c>
      <c r="K22" s="6"/>
      <c r="L22" s="7" t="str">
        <f aca="false">IF(K22="","",IF(H22=K22,"✓ Acuerdo","✗ Discrepancia"))</f>
        <v/>
      </c>
    </row>
    <row r="23" customFormat="false" ht="15" hidden="false" customHeight="true" outlineLevel="0" collapsed="false">
      <c r="A23" s="1" t="n">
        <v>22</v>
      </c>
      <c r="B23" s="1" t="s">
        <v>127</v>
      </c>
      <c r="C23" s="1" t="s">
        <v>29</v>
      </c>
      <c r="D23" s="1" t="n">
        <v>2025</v>
      </c>
      <c r="E23" s="1" t="s">
        <v>128</v>
      </c>
      <c r="F23" s="1" t="s">
        <v>129</v>
      </c>
      <c r="G23" s="1" t="s">
        <v>130</v>
      </c>
      <c r="H23" s="1" t="s">
        <v>18</v>
      </c>
      <c r="I23" s="1" t="s">
        <v>33</v>
      </c>
      <c r="J23" s="1" t="s">
        <v>131</v>
      </c>
      <c r="K23" s="6"/>
      <c r="L23" s="7" t="str">
        <f aca="false">IF(K23="","",IF(H23=K23,"✓ Acuerdo","✗ Discrepancia"))</f>
        <v/>
      </c>
    </row>
    <row r="24" customFormat="false" ht="15" hidden="false" customHeight="true" outlineLevel="0" collapsed="false">
      <c r="A24" s="1" t="n">
        <v>23</v>
      </c>
      <c r="B24" s="1" t="s">
        <v>132</v>
      </c>
      <c r="C24" s="1" t="s">
        <v>36</v>
      </c>
      <c r="D24" s="1" t="n">
        <v>2025</v>
      </c>
      <c r="E24" s="1" t="s">
        <v>133</v>
      </c>
      <c r="F24" s="1" t="s">
        <v>134</v>
      </c>
      <c r="G24" s="1" t="s">
        <v>135</v>
      </c>
      <c r="H24" s="1" t="s">
        <v>18</v>
      </c>
      <c r="I24" s="1" t="s">
        <v>33</v>
      </c>
      <c r="J24" s="1" t="s">
        <v>136</v>
      </c>
      <c r="K24" s="6"/>
      <c r="L24" s="7" t="str">
        <f aca="false">IF(K24="","",IF(H24=K24,"✓ Acuerdo","✗ Discrepancia"))</f>
        <v/>
      </c>
    </row>
    <row r="25" customFormat="false" ht="41.25" hidden="false" customHeight="true" outlineLevel="0" collapsed="false">
      <c r="A25" s="1" t="n">
        <v>24</v>
      </c>
      <c r="B25" s="1" t="s">
        <v>137</v>
      </c>
      <c r="C25" s="1" t="s">
        <v>14</v>
      </c>
      <c r="D25" s="1" t="n">
        <v>2022</v>
      </c>
      <c r="E25" s="1" t="s">
        <v>138</v>
      </c>
      <c r="F25" s="1" t="s">
        <v>139</v>
      </c>
      <c r="G25" s="5" t="s">
        <v>140</v>
      </c>
      <c r="H25" s="1" t="s">
        <v>18</v>
      </c>
      <c r="I25" s="1" t="s">
        <v>33</v>
      </c>
      <c r="J25" s="1" t="s">
        <v>141</v>
      </c>
      <c r="K25" s="6"/>
      <c r="L25" s="7" t="str">
        <f aca="false">IF(K25="","",IF(H25=K25,"✓ Acuerdo","✗ Discrepancia"))</f>
        <v/>
      </c>
    </row>
    <row r="26" customFormat="false" ht="68.25" hidden="false" customHeight="true" outlineLevel="0" collapsed="false">
      <c r="A26" s="1" t="n">
        <v>25</v>
      </c>
      <c r="B26" s="1" t="s">
        <v>142</v>
      </c>
      <c r="C26" s="1" t="s">
        <v>14</v>
      </c>
      <c r="D26" s="1" t="n">
        <v>2022</v>
      </c>
      <c r="E26" s="1" t="s">
        <v>143</v>
      </c>
      <c r="F26" s="1" t="s">
        <v>144</v>
      </c>
      <c r="G26" s="5" t="s">
        <v>145</v>
      </c>
      <c r="H26" s="1" t="s">
        <v>18</v>
      </c>
      <c r="I26" s="1" t="s">
        <v>33</v>
      </c>
      <c r="J26" s="1" t="s">
        <v>146</v>
      </c>
      <c r="K26" s="6"/>
      <c r="L26" s="7" t="str">
        <f aca="false">IF(K26="","",IF(H26=K26,"✓ Acuerdo","✗ Discrepancia"))</f>
        <v/>
      </c>
    </row>
    <row r="27" customFormat="false" ht="41.25" hidden="false" customHeight="true" outlineLevel="0" collapsed="false">
      <c r="A27" s="1" t="n">
        <v>26</v>
      </c>
      <c r="B27" s="1" t="s">
        <v>147</v>
      </c>
      <c r="C27" s="1" t="s">
        <v>36</v>
      </c>
      <c r="D27" s="1" t="n">
        <v>2024</v>
      </c>
      <c r="E27" s="1" t="s">
        <v>148</v>
      </c>
      <c r="F27" s="1" t="s">
        <v>149</v>
      </c>
      <c r="G27" s="5" t="s">
        <v>150</v>
      </c>
      <c r="H27" s="1" t="s">
        <v>18</v>
      </c>
      <c r="I27" s="1" t="s">
        <v>33</v>
      </c>
      <c r="J27" s="1" t="s">
        <v>151</v>
      </c>
      <c r="K27" s="6"/>
      <c r="L27" s="7" t="str">
        <f aca="false">IF(K27="","",IF(H27=K27,"✓ Acuerdo","✗ Discrepancia"))</f>
        <v/>
      </c>
    </row>
    <row r="28" customFormat="false" ht="15" hidden="false" customHeight="true" outlineLevel="0" collapsed="false">
      <c r="A28" s="1" t="n">
        <v>27</v>
      </c>
      <c r="B28" s="1" t="s">
        <v>152</v>
      </c>
      <c r="C28" s="1" t="s">
        <v>29</v>
      </c>
      <c r="D28" s="1" t="n">
        <v>2023</v>
      </c>
      <c r="E28" s="1" t="s">
        <v>153</v>
      </c>
      <c r="F28" s="1" t="s">
        <v>154</v>
      </c>
      <c r="G28" s="1" t="s">
        <v>155</v>
      </c>
      <c r="H28" s="1" t="s">
        <v>18</v>
      </c>
      <c r="I28" s="1" t="s">
        <v>33</v>
      </c>
      <c r="J28" s="1" t="s">
        <v>156</v>
      </c>
      <c r="K28" s="6"/>
      <c r="L28" s="7" t="str">
        <f aca="false">IF(K28="","",IF(H28=K28,"✓ Acuerdo","✗ Discrepancia"))</f>
        <v/>
      </c>
    </row>
    <row r="29" customFormat="false" ht="27.75" hidden="false" customHeight="true" outlineLevel="0" collapsed="false">
      <c r="A29" s="1" t="n">
        <v>28</v>
      </c>
      <c r="B29" s="1" t="s">
        <v>157</v>
      </c>
      <c r="C29" s="1" t="s">
        <v>36</v>
      </c>
      <c r="D29" s="1" t="n">
        <v>2025</v>
      </c>
      <c r="E29" s="1" t="s">
        <v>158</v>
      </c>
      <c r="F29" s="1" t="s">
        <v>159</v>
      </c>
      <c r="G29" s="5" t="s">
        <v>160</v>
      </c>
      <c r="H29" s="1" t="s">
        <v>18</v>
      </c>
      <c r="I29" s="1" t="s">
        <v>33</v>
      </c>
      <c r="J29" s="1" t="s">
        <v>161</v>
      </c>
      <c r="K29" s="6"/>
      <c r="L29" s="7" t="str">
        <f aca="false">IF(K29="","",IF(H29=K29,"✓ Acuerdo","✗ Discrepancia"))</f>
        <v/>
      </c>
    </row>
    <row r="30" customFormat="false" ht="15" hidden="false" customHeight="true" outlineLevel="0" collapsed="false">
      <c r="A30" s="1" t="n">
        <v>29</v>
      </c>
      <c r="B30" s="1" t="s">
        <v>162</v>
      </c>
      <c r="C30" s="1" t="s">
        <v>29</v>
      </c>
      <c r="D30" s="1" t="n">
        <v>2025</v>
      </c>
      <c r="E30" s="1" t="s">
        <v>163</v>
      </c>
      <c r="F30" s="1" t="s">
        <v>164</v>
      </c>
      <c r="G30" s="1" t="s">
        <v>165</v>
      </c>
      <c r="H30" s="1" t="s">
        <v>18</v>
      </c>
      <c r="I30" s="1" t="s">
        <v>33</v>
      </c>
      <c r="J30" s="1" t="s">
        <v>166</v>
      </c>
      <c r="K30" s="6"/>
      <c r="L30" s="7" t="str">
        <f aca="false">IF(K30="","",IF(H30=K30,"✓ Acuerdo","✗ Discrepancia"))</f>
        <v/>
      </c>
    </row>
    <row r="31" customFormat="false" ht="15" hidden="false" customHeight="true" outlineLevel="0" collapsed="false">
      <c r="A31" s="1" t="n">
        <v>30</v>
      </c>
      <c r="B31" s="1" t="s">
        <v>167</v>
      </c>
      <c r="C31" s="1" t="s">
        <v>29</v>
      </c>
      <c r="D31" s="1" t="n">
        <v>2025</v>
      </c>
      <c r="E31" s="1" t="s">
        <v>168</v>
      </c>
      <c r="F31" s="1" t="s">
        <v>169</v>
      </c>
      <c r="G31" s="1" t="s">
        <v>170</v>
      </c>
      <c r="H31" s="1" t="s">
        <v>18</v>
      </c>
      <c r="I31" s="1" t="s">
        <v>33</v>
      </c>
      <c r="J31" s="1" t="s">
        <v>171</v>
      </c>
      <c r="K31" s="6"/>
      <c r="L31" s="7" t="str">
        <f aca="false">IF(K31="","",IF(H31=K31,"✓ Acuerdo","✗ Discrepancia"))</f>
        <v/>
      </c>
    </row>
    <row r="32" customFormat="false" ht="15" hidden="false" customHeight="true" outlineLevel="0" collapsed="false">
      <c r="A32" s="1" t="n">
        <v>31</v>
      </c>
      <c r="B32" s="1" t="s">
        <v>172</v>
      </c>
      <c r="C32" s="1" t="s">
        <v>36</v>
      </c>
      <c r="D32" s="1" t="n">
        <v>2025</v>
      </c>
      <c r="E32" s="1" t="s">
        <v>173</v>
      </c>
      <c r="F32" s="1" t="s">
        <v>174</v>
      </c>
      <c r="H32" s="1" t="s">
        <v>18</v>
      </c>
      <c r="I32" s="1" t="s">
        <v>33</v>
      </c>
      <c r="J32" s="1" t="s">
        <v>175</v>
      </c>
      <c r="K32" s="6"/>
      <c r="L32" s="7" t="str">
        <f aca="false">IF(K32="","",IF(H32=K32,"✓ Acuerdo","✗ Discrepancia"))</f>
        <v/>
      </c>
    </row>
    <row r="33" customFormat="false" ht="15" hidden="false" customHeight="true" outlineLevel="0" collapsed="false">
      <c r="A33" s="1" t="n">
        <v>32</v>
      </c>
      <c r="B33" s="1" t="s">
        <v>176</v>
      </c>
      <c r="C33" s="1" t="s">
        <v>36</v>
      </c>
      <c r="D33" s="1" t="n">
        <v>2025</v>
      </c>
      <c r="E33" s="1" t="s">
        <v>177</v>
      </c>
      <c r="F33" s="1" t="s">
        <v>178</v>
      </c>
      <c r="H33" s="1" t="s">
        <v>18</v>
      </c>
      <c r="I33" s="1" t="s">
        <v>33</v>
      </c>
      <c r="J33" s="1" t="s">
        <v>179</v>
      </c>
      <c r="K33" s="6"/>
      <c r="L33" s="7" t="str">
        <f aca="false">IF(K33="","",IF(H33=K33,"✓ Acuerdo","✗ Discrepancia"))</f>
        <v/>
      </c>
    </row>
    <row r="34" customFormat="false" ht="15" hidden="false" customHeight="true" outlineLevel="0" collapsed="false">
      <c r="A34" s="1" t="n">
        <v>33</v>
      </c>
      <c r="B34" s="1" t="s">
        <v>180</v>
      </c>
      <c r="C34" s="1" t="s">
        <v>29</v>
      </c>
      <c r="D34" s="1" t="n">
        <v>2022</v>
      </c>
      <c r="E34" s="1" t="s">
        <v>181</v>
      </c>
      <c r="F34" s="1" t="s">
        <v>182</v>
      </c>
      <c r="G34" s="1" t="s">
        <v>183</v>
      </c>
      <c r="H34" s="1" t="s">
        <v>18</v>
      </c>
      <c r="I34" s="1" t="s">
        <v>33</v>
      </c>
      <c r="J34" s="1" t="s">
        <v>184</v>
      </c>
      <c r="K34" s="6"/>
      <c r="L34" s="7" t="str">
        <f aca="false">IF(K34="","",IF(H34=K34,"✓ Acuerdo","✗ Discrepancia"))</f>
        <v/>
      </c>
    </row>
    <row r="35" customFormat="false" ht="15" hidden="false" customHeight="true" outlineLevel="0" collapsed="false">
      <c r="A35" s="1" t="n">
        <v>34</v>
      </c>
      <c r="B35" s="1" t="s">
        <v>185</v>
      </c>
      <c r="C35" s="1" t="s">
        <v>14</v>
      </c>
      <c r="D35" s="1" t="n">
        <v>2021</v>
      </c>
      <c r="E35" s="1" t="s">
        <v>186</v>
      </c>
      <c r="F35" s="1" t="s">
        <v>187</v>
      </c>
      <c r="G35" s="1" t="s">
        <v>188</v>
      </c>
      <c r="H35" s="1" t="s">
        <v>18</v>
      </c>
      <c r="I35" s="1" t="s">
        <v>33</v>
      </c>
      <c r="J35" s="1" t="s">
        <v>189</v>
      </c>
      <c r="K35" s="6"/>
      <c r="L35" s="7" t="str">
        <f aca="false">IF(K35="","",IF(H35=K35,"✓ Acuerdo","✗ Discrepancia"))</f>
        <v/>
      </c>
    </row>
    <row r="36" customFormat="false" ht="15" hidden="false" customHeight="true" outlineLevel="0" collapsed="false">
      <c r="A36" s="1" t="n">
        <v>35</v>
      </c>
      <c r="B36" s="1" t="s">
        <v>190</v>
      </c>
      <c r="C36" s="1" t="s">
        <v>36</v>
      </c>
      <c r="D36" s="1" t="n">
        <v>2025</v>
      </c>
      <c r="E36" s="1" t="s">
        <v>191</v>
      </c>
      <c r="F36" s="1" t="s">
        <v>192</v>
      </c>
      <c r="H36" s="1" t="s">
        <v>18</v>
      </c>
      <c r="I36" s="1" t="s">
        <v>33</v>
      </c>
      <c r="J36" s="1" t="s">
        <v>193</v>
      </c>
      <c r="K36" s="6"/>
      <c r="L36" s="7" t="str">
        <f aca="false">IF(K36="","",IF(H36=K36,"✓ Acuerdo","✗ Discrepancia"))</f>
        <v/>
      </c>
    </row>
    <row r="37" customFormat="false" ht="15" hidden="false" customHeight="true" outlineLevel="0" collapsed="false">
      <c r="A37" s="1" t="n">
        <v>36</v>
      </c>
      <c r="B37" s="1" t="s">
        <v>194</v>
      </c>
      <c r="C37" s="1" t="s">
        <v>29</v>
      </c>
      <c r="D37" s="1" t="n">
        <v>2025</v>
      </c>
      <c r="E37" s="1" t="s">
        <v>195</v>
      </c>
      <c r="F37" s="1" t="s">
        <v>196</v>
      </c>
      <c r="G37" s="1" t="s">
        <v>197</v>
      </c>
      <c r="H37" s="1" t="s">
        <v>18</v>
      </c>
      <c r="I37" s="1" t="s">
        <v>33</v>
      </c>
      <c r="J37" s="1" t="s">
        <v>198</v>
      </c>
      <c r="K37" s="6"/>
      <c r="L37" s="7" t="str">
        <f aca="false">IF(K37="","",IF(H37=K37,"✓ Acuerdo","✗ Discrepancia"))</f>
        <v/>
      </c>
    </row>
    <row r="38" customFormat="false" ht="15" hidden="false" customHeight="true" outlineLevel="0" collapsed="false">
      <c r="A38" s="1" t="n">
        <v>37</v>
      </c>
      <c r="B38" s="1" t="s">
        <v>199</v>
      </c>
      <c r="C38" s="1" t="s">
        <v>36</v>
      </c>
      <c r="D38" s="1" t="n">
        <v>2025</v>
      </c>
      <c r="E38" s="1" t="s">
        <v>200</v>
      </c>
      <c r="F38" s="1" t="s">
        <v>201</v>
      </c>
      <c r="G38" s="1" t="s">
        <v>202</v>
      </c>
      <c r="H38" s="1" t="s">
        <v>18</v>
      </c>
      <c r="I38" s="1" t="s">
        <v>33</v>
      </c>
      <c r="J38" s="1" t="s">
        <v>203</v>
      </c>
      <c r="K38" s="6"/>
      <c r="L38" s="7" t="str">
        <f aca="false">IF(K38="","",IF(H38=K38,"✓ Acuerdo","✗ Discrepancia"))</f>
        <v/>
      </c>
    </row>
    <row r="39" customFormat="false" ht="15" hidden="false" customHeight="true" outlineLevel="0" collapsed="false">
      <c r="A39" s="1" t="n">
        <v>38</v>
      </c>
      <c r="B39" s="1" t="s">
        <v>204</v>
      </c>
      <c r="C39" s="1" t="s">
        <v>14</v>
      </c>
      <c r="D39" s="1" t="n">
        <v>2022</v>
      </c>
      <c r="E39" s="1" t="s">
        <v>205</v>
      </c>
      <c r="F39" s="1" t="s">
        <v>206</v>
      </c>
      <c r="H39" s="1" t="s">
        <v>18</v>
      </c>
      <c r="I39" s="1" t="s">
        <v>33</v>
      </c>
      <c r="J39" s="1" t="s">
        <v>207</v>
      </c>
      <c r="K39" s="6"/>
      <c r="L39" s="7" t="str">
        <f aca="false">IF(K39="","",IF(H39=K39,"✓ Acuerdo","✗ Discrepancia"))</f>
        <v/>
      </c>
    </row>
    <row r="40" customFormat="false" ht="15" hidden="false" customHeight="true" outlineLevel="0" collapsed="false">
      <c r="A40" s="1" t="n">
        <v>39</v>
      </c>
      <c r="B40" s="1" t="s">
        <v>208</v>
      </c>
      <c r="C40" s="1" t="s">
        <v>29</v>
      </c>
      <c r="D40" s="1" t="n">
        <v>2022</v>
      </c>
      <c r="E40" s="1" t="s">
        <v>209</v>
      </c>
      <c r="F40" s="1" t="s">
        <v>210</v>
      </c>
      <c r="G40" s="1" t="s">
        <v>211</v>
      </c>
      <c r="H40" s="1" t="s">
        <v>18</v>
      </c>
      <c r="I40" s="1" t="s">
        <v>33</v>
      </c>
      <c r="J40" s="1" t="s">
        <v>212</v>
      </c>
      <c r="K40" s="6"/>
      <c r="L40" s="7" t="str">
        <f aca="false">IF(K40="","",IF(H40=K40,"✓ Acuerdo","✗ Discrepancia"))</f>
        <v/>
      </c>
    </row>
    <row r="41" customFormat="false" ht="15" hidden="false" customHeight="true" outlineLevel="0" collapsed="false">
      <c r="A41" s="1" t="n">
        <v>40</v>
      </c>
      <c r="B41" s="1" t="s">
        <v>213</v>
      </c>
      <c r="C41" s="1" t="s">
        <v>29</v>
      </c>
      <c r="D41" s="1" t="n">
        <v>2024</v>
      </c>
      <c r="E41" s="1" t="s">
        <v>214</v>
      </c>
      <c r="F41" s="1" t="s">
        <v>215</v>
      </c>
      <c r="G41" s="1" t="s">
        <v>216</v>
      </c>
      <c r="H41" s="1" t="s">
        <v>18</v>
      </c>
      <c r="I41" s="1" t="s">
        <v>33</v>
      </c>
      <c r="J41" s="1" t="s">
        <v>217</v>
      </c>
      <c r="K41" s="6"/>
      <c r="L41" s="7" t="str">
        <f aca="false">IF(K41="","",IF(H41=K41,"✓ Acuerdo","✗ Discrepancia"))</f>
        <v/>
      </c>
    </row>
    <row r="42" customFormat="false" ht="15" hidden="false" customHeight="true" outlineLevel="0" collapsed="false">
      <c r="A42" s="1" t="n">
        <v>41</v>
      </c>
      <c r="B42" s="1" t="s">
        <v>218</v>
      </c>
      <c r="C42" s="1" t="s">
        <v>29</v>
      </c>
      <c r="D42" s="1" t="n">
        <v>2025</v>
      </c>
      <c r="E42" s="1" t="s">
        <v>219</v>
      </c>
      <c r="F42" s="1" t="s">
        <v>220</v>
      </c>
      <c r="G42" s="1" t="s">
        <v>221</v>
      </c>
      <c r="H42" s="1" t="s">
        <v>18</v>
      </c>
      <c r="I42" s="1" t="s">
        <v>33</v>
      </c>
      <c r="J42" s="1" t="s">
        <v>222</v>
      </c>
      <c r="K42" s="6"/>
      <c r="L42" s="7" t="str">
        <f aca="false">IF(K42="","",IF(H42=K42,"✓ Acuerdo","✗ Discrepancia"))</f>
        <v/>
      </c>
    </row>
    <row r="43" customFormat="false" ht="15" hidden="false" customHeight="true" outlineLevel="0" collapsed="false">
      <c r="A43" s="1" t="n">
        <v>42</v>
      </c>
      <c r="B43" s="1" t="s">
        <v>223</v>
      </c>
      <c r="C43" s="1" t="s">
        <v>36</v>
      </c>
      <c r="D43" s="1" t="n">
        <v>2023</v>
      </c>
      <c r="E43" s="1" t="s">
        <v>224</v>
      </c>
      <c r="F43" s="1" t="s">
        <v>225</v>
      </c>
      <c r="H43" s="1" t="s">
        <v>18</v>
      </c>
      <c r="I43" s="1" t="s">
        <v>33</v>
      </c>
      <c r="J43" s="1" t="s">
        <v>226</v>
      </c>
      <c r="K43" s="6"/>
      <c r="L43" s="7" t="str">
        <f aca="false">IF(K43="","",IF(H43=K43,"✓ Acuerdo","✗ Discrepancia"))</f>
        <v/>
      </c>
    </row>
    <row r="44" customFormat="false" ht="15" hidden="false" customHeight="true" outlineLevel="0" collapsed="false">
      <c r="A44" s="1" t="n">
        <v>43</v>
      </c>
      <c r="B44" s="1" t="s">
        <v>227</v>
      </c>
      <c r="C44" s="1" t="s">
        <v>14</v>
      </c>
      <c r="D44" s="1" t="n">
        <v>2024</v>
      </c>
      <c r="E44" s="1" t="s">
        <v>228</v>
      </c>
      <c r="F44" s="1" t="s">
        <v>229</v>
      </c>
      <c r="H44" s="1" t="s">
        <v>18</v>
      </c>
      <c r="I44" s="1" t="s">
        <v>33</v>
      </c>
      <c r="J44" s="1" t="s">
        <v>230</v>
      </c>
      <c r="K44" s="6"/>
      <c r="L44" s="7" t="str">
        <f aca="false">IF(K44="","",IF(H44=K44,"✓ Acuerdo","✗ Discrepancia"))</f>
        <v/>
      </c>
    </row>
    <row r="45" customFormat="false" ht="15" hidden="false" customHeight="true" outlineLevel="0" collapsed="false">
      <c r="A45" s="1" t="n">
        <v>44</v>
      </c>
      <c r="B45" s="1" t="s">
        <v>231</v>
      </c>
      <c r="C45" s="1" t="s">
        <v>36</v>
      </c>
      <c r="D45" s="1" t="n">
        <v>2025</v>
      </c>
      <c r="E45" s="1" t="s">
        <v>232</v>
      </c>
      <c r="F45" s="1" t="s">
        <v>233</v>
      </c>
      <c r="H45" s="1" t="s">
        <v>18</v>
      </c>
      <c r="I45" s="1" t="s">
        <v>33</v>
      </c>
      <c r="J45" s="1" t="s">
        <v>234</v>
      </c>
      <c r="K45" s="6"/>
      <c r="L45" s="7" t="str">
        <f aca="false">IF(K45="","",IF(H45=K45,"✓ Acuerdo","✗ Discrepancia"))</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0"/>
    <col collapsed="false" customWidth="true" hidden="false" outlineLevel="0" max="3" min="3" style="1" width="35"/>
    <col collapsed="false" customWidth="true" hidden="false" outlineLevel="0" max="4" min="4" style="1" width="14"/>
  </cols>
  <sheetData>
    <row r="1" customFormat="false" ht="27.75" hidden="false" customHeight="true" outlineLevel="0" collapsed="false">
      <c r="A1" s="9" t="s">
        <v>235</v>
      </c>
      <c r="B1" s="9"/>
      <c r="C1" s="9"/>
      <c r="D1" s="9"/>
      <c r="E1" s="9"/>
      <c r="F1" s="9"/>
    </row>
    <row r="3" customFormat="false" ht="19.5" hidden="false" customHeight="true" outlineLevel="0" collapsed="false">
      <c r="A3" s="10" t="s">
        <v>236</v>
      </c>
      <c r="B3" s="10"/>
      <c r="C3" s="10"/>
      <c r="D3" s="10"/>
      <c r="E3" s="10"/>
      <c r="F3" s="10"/>
    </row>
    <row r="4" customFormat="false" ht="15" hidden="false" customHeight="true" outlineLevel="0" collapsed="false">
      <c r="A4" s="11"/>
      <c r="B4" s="12" t="s">
        <v>237</v>
      </c>
      <c r="C4" s="13" t="s">
        <v>238</v>
      </c>
      <c r="D4" s="14" t="s">
        <v>239</v>
      </c>
    </row>
    <row r="5" customFormat="false" ht="15" hidden="false" customHeight="true" outlineLevel="0" collapsed="false">
      <c r="A5" s="15" t="s">
        <v>240</v>
      </c>
      <c r="B5" s="16" t="n">
        <v>0</v>
      </c>
      <c r="C5" s="16" t="n">
        <v>0</v>
      </c>
      <c r="D5" s="14" t="n">
        <f aca="false">B5+C5</f>
        <v>0</v>
      </c>
    </row>
    <row r="6" customFormat="false" ht="15" hidden="false" customHeight="true" outlineLevel="0" collapsed="false">
      <c r="A6" s="17" t="s">
        <v>241</v>
      </c>
      <c r="B6" s="16" t="n">
        <v>0</v>
      </c>
      <c r="C6" s="16" t="n">
        <v>44</v>
      </c>
      <c r="D6" s="14" t="n">
        <f aca="false">B6+C6</f>
        <v>44</v>
      </c>
    </row>
    <row r="7" customFormat="false" ht="15" hidden="false" customHeight="true" outlineLevel="0" collapsed="false">
      <c r="A7" s="18" t="s">
        <v>242</v>
      </c>
      <c r="B7" s="19" t="n">
        <f aca="false">B5+B6</f>
        <v>0</v>
      </c>
      <c r="C7" s="19" t="n">
        <f aca="false">C5+C6</f>
        <v>44</v>
      </c>
      <c r="D7" s="20" t="n">
        <f aca="false">B7+C7</f>
        <v>44</v>
      </c>
    </row>
    <row r="8" customFormat="false" ht="15" hidden="false" customHeight="true" outlineLevel="0" collapsed="false">
      <c r="A8" s="21" t="s">
        <v>243</v>
      </c>
      <c r="B8" s="21"/>
      <c r="C8" s="21"/>
      <c r="D8" s="21"/>
      <c r="E8" s="21"/>
      <c r="F8" s="21"/>
    </row>
    <row r="10" customFormat="false" ht="19.5" hidden="false" customHeight="true" outlineLevel="0" collapsed="false">
      <c r="A10" s="10" t="s">
        <v>244</v>
      </c>
      <c r="B10" s="10"/>
      <c r="C10" s="10"/>
      <c r="D10" s="10"/>
      <c r="E10" s="10"/>
      <c r="F10" s="10"/>
    </row>
    <row r="11" customFormat="false" ht="15" hidden="false" customHeight="true" outlineLevel="0" collapsed="false">
      <c r="A11" s="22" t="s">
        <v>245</v>
      </c>
      <c r="B11" s="23" t="n">
        <f aca="false">D7</f>
        <v>44</v>
      </c>
      <c r="C11" s="24" t="s">
        <v>246</v>
      </c>
    </row>
    <row r="12" customFormat="false" ht="15" hidden="false" customHeight="true" outlineLevel="0" collapsed="false">
      <c r="A12" s="22" t="s">
        <v>247</v>
      </c>
      <c r="B12" s="25" t="n">
        <f aca="false">(B5+C6)/D7</f>
        <v>1</v>
      </c>
      <c r="C12" s="24" t="s">
        <v>248</v>
      </c>
    </row>
    <row r="13" customFormat="false" ht="15" hidden="false" customHeight="true" outlineLevel="0" collapsed="false">
      <c r="A13" s="22" t="s">
        <v>249</v>
      </c>
      <c r="B13" s="25" t="n">
        <f aca="false">(D5*B7+D6*C7)/D7^2</f>
        <v>1</v>
      </c>
      <c r="C13" s="24" t="s">
        <v>250</v>
      </c>
    </row>
    <row r="14" customFormat="false" ht="15" hidden="false" customHeight="true" outlineLevel="0" collapsed="false">
      <c r="A14" s="22" t="s">
        <v>251</v>
      </c>
      <c r="B14" s="26" t="str">
        <f aca="false">IF(OR(D7=0,B13=1),"",ROUND((B12-B13)/(1-B13),4))</f>
        <v/>
      </c>
      <c r="C14" s="24" t="s">
        <v>252</v>
      </c>
    </row>
    <row r="15" customFormat="false" ht="15" hidden="false" customHeight="true" outlineLevel="0" collapsed="false">
      <c r="A15" s="22" t="s">
        <v>253</v>
      </c>
      <c r="B15" s="27" t="str">
        <f aca="false">IF(OR(B14="",B14&lt;-1),"",IF(B14&gt;=0.81,"Casi perfecto (≥0.81)",IF(B14&gt;=0.61,"Sustancial (0.61-0.80)",IF(B14&gt;=0.41,"Moderado (0.41-0.60)",IF(B14&gt;=0.21,"Aceptable (0.21-0.40)","Pobre (&lt;0.21)")))))</f>
        <v/>
      </c>
      <c r="C15" s="24" t="s">
        <v>254</v>
      </c>
    </row>
    <row r="17" customFormat="false" ht="19.5" hidden="false" customHeight="true" outlineLevel="0" collapsed="false">
      <c r="A17" s="10" t="s">
        <v>255</v>
      </c>
      <c r="B17" s="10"/>
      <c r="C17" s="10"/>
      <c r="D17" s="10"/>
      <c r="E17" s="10"/>
      <c r="F17" s="10"/>
    </row>
    <row r="18" customFormat="false" ht="15" hidden="false" customHeight="true" outlineLevel="0" collapsed="false">
      <c r="A18" s="28" t="s">
        <v>256</v>
      </c>
      <c r="B18" s="25" t="str">
        <f aca="false">IF(OR(D7=0,B13=1,B14=""),"",ROUND(SQRT((B12*(1-B12))/(D7*(1-B13)^2)),4))</f>
        <v/>
      </c>
      <c r="C18" s="24" t="s">
        <v>257</v>
      </c>
    </row>
    <row r="19" customFormat="false" ht="15" hidden="false" customHeight="true" outlineLevel="0" collapsed="false">
      <c r="A19" s="28" t="s">
        <v>258</v>
      </c>
      <c r="B19" s="25" t="str">
        <f aca="false">IF(B18="","",ROUND(B14-1.96*B18,4))</f>
        <v/>
      </c>
      <c r="C19" s="24" t="s">
        <v>259</v>
      </c>
    </row>
    <row r="20" customFormat="false" ht="15" hidden="false" customHeight="true" outlineLevel="0" collapsed="false">
      <c r="A20" s="28" t="s">
        <v>260</v>
      </c>
      <c r="B20" s="25" t="str">
        <f aca="false">IF(B18="","",ROUND(MIN(1,B14+1.96*B18),4))</f>
        <v/>
      </c>
      <c r="C20" s="24" t="s">
        <v>261</v>
      </c>
    </row>
    <row r="22" customFormat="false" ht="15" hidden="false" customHeight="true" outlineLevel="0" collapsed="false">
      <c r="A22" s="21" t="s">
        <v>262</v>
      </c>
      <c r="B22" s="21"/>
      <c r="C22" s="21"/>
      <c r="D22" s="21"/>
      <c r="E22" s="21"/>
      <c r="F22" s="21"/>
    </row>
  </sheetData>
  <mergeCells count="6">
    <mergeCell ref="A1:F1"/>
    <mergeCell ref="A3:F3"/>
    <mergeCell ref="A8:F8"/>
    <mergeCell ref="A10:F10"/>
    <mergeCell ref="A17:F17"/>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2026-03-30T06:01:54Z</dcterms:created>
  <dc:creator>openpyxl</dc:creator>
  <dc:description/>
  <dc:language>en-US</dc:language>
  <cp:lastModifiedBy/>
  <dcterms:modified xsi:type="dcterms:W3CDTF">2026-03-31T04:26:14Z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